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044D6541-3E90-4A8C-88E9-46664D31267D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200W" sheetId="174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4">tbmateriales[[#All],[CODIGO]]</definedName>
    <definedName name="cod" localSheetId="206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F180" i="1" l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<sst xmlns="http://schemas.openxmlformats.org/spreadsheetml/2006/main" count="7480" uniqueCount="1517">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</sst>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6" totalsRowShown="0" headerRowDxfId="29" headerRowBorderDxfId="28" tableBorderDxfId="27" totalsRowBorderDxfId="26">
  <autoFilter ref="A1:F286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6"/>
  <sheetViews>
    <sheetView topLeftCell="D152" zoomScale="85" zoomScaleNormal="100" zoomScaleSheetLayoutView="122" workbookViewId="0">
      <selection activeCell="D177" sqref="D177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1509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1511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1474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1475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1476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1495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1241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1242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1243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1244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1245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1246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1247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1248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1249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1250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1286</v>
      </c>
      <c r="D133" s="7" t="s">
        <v>1287</v>
      </c>
      <c r="E133" s="31" t="s">
        <v>1301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1286</v>
      </c>
      <c r="D134" s="7" t="s">
        <v>1288</v>
      </c>
      <c r="E134" s="31" t="s">
        <v>1302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1286</v>
      </c>
      <c r="D135" s="7" t="s">
        <v>1289</v>
      </c>
      <c r="E135" s="31" t="s">
        <v>1303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1286</v>
      </c>
      <c r="D136" s="7" t="s">
        <v>1290</v>
      </c>
      <c r="E136" s="31" t="s">
        <v>1304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1286</v>
      </c>
      <c r="D137" s="7" t="s">
        <v>1291</v>
      </c>
      <c r="E137" s="31" t="s">
        <v>1305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1286</v>
      </c>
      <c r="D138" s="7" t="s">
        <v>1292</v>
      </c>
      <c r="E138" s="31" t="s">
        <v>1306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1286</v>
      </c>
      <c r="D139" s="7" t="s">
        <v>1295</v>
      </c>
      <c r="E139" s="31" t="s">
        <v>1307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1286</v>
      </c>
      <c r="D140" s="7" t="s">
        <v>1296</v>
      </c>
      <c r="E140" s="31" t="s">
        <v>1308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1286</v>
      </c>
      <c r="D141" s="7" t="s">
        <v>1293</v>
      </c>
      <c r="E141" s="31" t="s">
        <v>1309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1286</v>
      </c>
      <c r="D142" s="7" t="s">
        <v>1297</v>
      </c>
      <c r="E142" s="31" t="s">
        <v>1310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1286</v>
      </c>
      <c r="D143" s="7" t="s">
        <v>1298</v>
      </c>
      <c r="E143" s="31" t="s">
        <v>1311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1286</v>
      </c>
      <c r="D144" s="7" t="s">
        <v>1294</v>
      </c>
      <c r="E144" s="31" t="s">
        <v>1312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1286</v>
      </c>
      <c r="D145" s="7" t="s">
        <v>1299</v>
      </c>
      <c r="E145" s="31" t="s">
        <v>1313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1286</v>
      </c>
      <c r="D146" s="7" t="s">
        <v>1300</v>
      </c>
      <c r="E146" s="31" t="s">
        <v>1314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1251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1252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1253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1254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1255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1256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1257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1258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1259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1260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1261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1262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1263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1264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1265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1266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1267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1268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1269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1270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1271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1272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1273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1274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1276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1275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1277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1278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1279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1280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1282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1281</v>
      </c>
      <c r="E178" s="31" t="s">
        <v>1283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1513</v>
      </c>
      <c r="E180" s="31" t="s">
        <v>1515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1514</v>
      </c>
      <c r="E181" s="31" t="s">
        <v>1516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1498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1499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1500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1185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1186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1187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1501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1188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1189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1190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1191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1192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1193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1194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1195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1196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1197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1198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1200</v>
      </c>
      <c r="E214" s="31" t="s">
        <v>1204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1201</v>
      </c>
      <c r="E215" s="31" t="s">
        <v>1203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1202</v>
      </c>
      <c r="E216" s="31" t="s">
        <v>1199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1205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1477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1179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1478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1178</v>
      </c>
      <c r="E234" s="32" t="s">
        <v>1479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1175</v>
      </c>
      <c r="E235" s="32" t="s">
        <v>1480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1176</v>
      </c>
      <c r="E236" s="32" t="s">
        <v>1481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1482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1483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1177</v>
      </c>
      <c r="E239" s="32" t="s">
        <v>1484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1229</v>
      </c>
      <c r="E240" s="32" t="s">
        <v>1208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1230</v>
      </c>
      <c r="E241" s="32" t="s">
        <v>1209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1231</v>
      </c>
      <c r="E242" s="32" t="s">
        <v>1210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1232</v>
      </c>
      <c r="E243" s="32" t="s">
        <v>1211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1233</v>
      </c>
      <c r="E244" s="32" t="s">
        <v>1207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1234</v>
      </c>
      <c r="E245" s="32" t="s">
        <v>1212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1235</v>
      </c>
      <c r="E246" s="32" t="s">
        <v>1206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1236</v>
      </c>
      <c r="E247" s="32" t="s">
        <v>1213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1237</v>
      </c>
      <c r="E248" s="32" t="s">
        <v>1214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1238</v>
      </c>
      <c r="E249" s="32" t="s">
        <v>1215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1239</v>
      </c>
      <c r="E250" s="32" t="s">
        <v>1216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1240</v>
      </c>
      <c r="E251" s="32" t="s">
        <v>1217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1184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1184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1485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1486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1487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1488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1453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1454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1455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1456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1457</v>
      </c>
      <c r="E262" s="33" t="s">
        <v>1473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1458</v>
      </c>
      <c r="E271" s="33" t="s">
        <v>1464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1459</v>
      </c>
      <c r="E272" s="33" t="s">
        <v>1466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1460</v>
      </c>
      <c r="E273" s="33" t="s">
        <v>1467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1461</v>
      </c>
      <c r="E274" s="33" t="s">
        <v>1465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1462</v>
      </c>
      <c r="E275" s="33" t="s">
        <v>1468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1463</v>
      </c>
      <c r="E276" s="33" t="s">
        <v>1469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1182</v>
      </c>
      <c r="D277" s="7" t="s">
        <v>230</v>
      </c>
      <c r="E277" s="33" t="s">
        <v>1489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1182</v>
      </c>
      <c r="D278" s="7" t="s">
        <v>229</v>
      </c>
      <c r="E278" s="33" t="s">
        <v>1490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1505</v>
      </c>
      <c r="E279" s="33" t="s">
        <v>1506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1183</v>
      </c>
      <c r="D280" s="7" t="s">
        <v>1316</v>
      </c>
      <c r="E280" s="33" t="s">
        <v>1491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1183</v>
      </c>
      <c r="D281" s="7" t="s">
        <v>1326</v>
      </c>
      <c r="E281" s="33" t="s">
        <v>1502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1183</v>
      </c>
      <c r="D282" s="7" t="s">
        <v>1228</v>
      </c>
      <c r="E282" s="33" t="s">
        <v>1492</v>
      </c>
      <c r="F282" s="43">
        <f>'A-I-1'!F288</f>
        <v>0</v>
      </c>
    </row>
    <row r="283" spans="1:6" x14ac:dyDescent="0.25">
      <c r="A283" s="5">
        <v>279</v>
      </c>
      <c r="B283" s="5" t="s">
        <v>911</v>
      </c>
      <c r="C283" s="5" t="s">
        <v>1183</v>
      </c>
      <c r="D283" s="7" t="s">
        <v>1315</v>
      </c>
      <c r="E283" s="33" t="s">
        <v>1493</v>
      </c>
      <c r="F283" s="43">
        <f>'A-I-1'!F289</f>
        <v>0</v>
      </c>
    </row>
    <row r="284" spans="1:6" x14ac:dyDescent="0.25">
      <c r="A284" s="44"/>
      <c r="B284" s="44" t="s">
        <v>1470</v>
      </c>
      <c r="C284" s="44" t="s">
        <v>1471</v>
      </c>
      <c r="D284" s="8" t="s">
        <v>1472</v>
      </c>
      <c r="E284" s="34" t="s">
        <v>1494</v>
      </c>
      <c r="F284" s="44">
        <f>'A-I-1'!F290</f>
        <v>0</v>
      </c>
    </row>
    <row r="285" spans="1:6" x14ac:dyDescent="0.25">
      <c r="A285" s="44"/>
      <c r="B285" s="44"/>
      <c r="C285" s="44"/>
      <c r="D285" s="8" t="s">
        <v>1503</v>
      </c>
      <c r="E285" s="34" t="s">
        <v>1496</v>
      </c>
      <c r="F285" s="44">
        <f>'A-I-1'!F291</f>
        <v>0</v>
      </c>
    </row>
    <row r="286" spans="1:6" x14ac:dyDescent="0.25">
      <c r="A286" s="44"/>
      <c r="B286" s="44"/>
      <c r="C286" s="44"/>
      <c r="D286" s="8" t="s">
        <v>1504</v>
      </c>
      <c r="E286" s="34" t="s">
        <v>1497</v>
      </c>
      <c r="F286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A225" zoomScale="124" workbookViewId="0">
      <selection activeCell="F240" sqref="F240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1510</v>
      </c>
      <c r="C1" s="24" t="s">
        <v>906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1174</v>
      </c>
      <c r="D21" s="22" t="s">
        <v>1226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1106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1327</v>
      </c>
      <c r="D31" s="22" t="s">
        <v>3</v>
      </c>
      <c r="E31" s="28" t="s">
        <v>1109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1329</v>
      </c>
      <c r="D32" s="22" t="s">
        <v>3</v>
      </c>
      <c r="E32" s="28" t="s">
        <v>1109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1328</v>
      </c>
      <c r="D33" s="22" t="s">
        <v>3</v>
      </c>
      <c r="E33" s="28" t="s">
        <v>1109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1107</v>
      </c>
      <c r="D34" s="22" t="s">
        <v>3</v>
      </c>
      <c r="E34" s="25" t="s">
        <v>1108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1333</v>
      </c>
      <c r="D41" s="22" t="s">
        <v>1226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1334</v>
      </c>
      <c r="D42" s="22" t="s">
        <v>1226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1335</v>
      </c>
      <c r="D43" s="22" t="s">
        <v>1226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1111</v>
      </c>
      <c r="D44" s="22" t="s">
        <v>1226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1112</v>
      </c>
      <c r="D45" s="22" t="s">
        <v>1226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1110</v>
      </c>
      <c r="D46" s="22" t="s">
        <v>1226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1113</v>
      </c>
      <c r="D47" s="22" t="s">
        <v>1226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1114</v>
      </c>
      <c r="D48" s="22" t="s">
        <v>1226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1115</v>
      </c>
      <c r="D49" s="22" t="s">
        <v>1226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1116</v>
      </c>
      <c r="D50" s="22" t="s">
        <v>1226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1337</v>
      </c>
      <c r="D51" s="22" t="s">
        <v>1226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1117</v>
      </c>
      <c r="D52" s="22" t="s">
        <v>1226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1118</v>
      </c>
      <c r="D53" s="22" t="s">
        <v>1226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1119</v>
      </c>
      <c r="D54" s="22" t="s">
        <v>1226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1120</v>
      </c>
      <c r="D55" s="22" t="s">
        <v>1226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1121</v>
      </c>
      <c r="D56" s="22" t="s">
        <v>1226</v>
      </c>
      <c r="E56" s="25" t="s">
        <v>1122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1123</v>
      </c>
      <c r="D57" s="22" t="s">
        <v>1226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1124</v>
      </c>
      <c r="D58" s="22" t="s">
        <v>1226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1125</v>
      </c>
      <c r="D59" s="22" t="s">
        <v>1226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1126</v>
      </c>
      <c r="D60" s="22" t="s">
        <v>1226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1127</v>
      </c>
      <c r="D61" s="22" t="s">
        <v>1226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1128</v>
      </c>
      <c r="D62" s="22" t="s">
        <v>1226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1338</v>
      </c>
      <c r="C63" t="s">
        <v>1132</v>
      </c>
      <c r="D63" s="22" t="s">
        <v>3</v>
      </c>
      <c r="E63" s="27" t="s">
        <v>1109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1133</v>
      </c>
      <c r="D64" s="22" t="s">
        <v>3</v>
      </c>
      <c r="E64" s="27" t="s">
        <v>1109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1134</v>
      </c>
      <c r="D65" s="22" t="s">
        <v>3</v>
      </c>
      <c r="E65" s="27" t="s">
        <v>1109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1135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1129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1130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1131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1109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1284</v>
      </c>
      <c r="C89" t="s">
        <v>1285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1143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1136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1137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1138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1139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1140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1141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1142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1109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1109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1109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1109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1109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1144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1145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1146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1147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1148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1320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1181</v>
      </c>
      <c r="C151" t="s">
        <v>1022</v>
      </c>
      <c r="D151" s="22" t="s">
        <v>3</v>
      </c>
      <c r="E151" s="28" t="s">
        <v>1109</v>
      </c>
      <c r="F151" s="40">
        <v>5</v>
      </c>
      <c r="G151"/>
    </row>
    <row r="152" spans="1:7" x14ac:dyDescent="0.25">
      <c r="A152" s="13">
        <v>151</v>
      </c>
      <c r="B152" s="37" t="s">
        <v>1317</v>
      </c>
      <c r="C152" t="s">
        <v>1180</v>
      </c>
      <c r="D152" s="22" t="s">
        <v>3</v>
      </c>
      <c r="E152" s="28" t="s">
        <v>1109</v>
      </c>
      <c r="F152" s="40">
        <v>2500</v>
      </c>
      <c r="G152"/>
    </row>
    <row r="153" spans="1:7" x14ac:dyDescent="0.25">
      <c r="A153" s="13">
        <v>152</v>
      </c>
      <c r="B153" s="37" t="s">
        <v>1318</v>
      </c>
      <c r="C153" t="s">
        <v>1319</v>
      </c>
      <c r="D153" s="22" t="s">
        <v>3</v>
      </c>
      <c r="E153" s="28" t="s">
        <v>1109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1149</v>
      </c>
      <c r="D154" s="22" t="s">
        <v>3</v>
      </c>
      <c r="E154" s="28" t="s">
        <v>1109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1023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1024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1025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1026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1027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1028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1029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1030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1031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1032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1033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1034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1035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1036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1037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1173</v>
      </c>
      <c r="C170" t="s">
        <v>1150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1038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1039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1040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1041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1042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1043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1044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1045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1046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1047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1048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1049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1050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1051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1052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1053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1054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1055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1056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1151</v>
      </c>
      <c r="C190" t="s">
        <v>816</v>
      </c>
      <c r="D190" s="22" t="s">
        <v>3</v>
      </c>
      <c r="E190" s="27" t="s">
        <v>1109</v>
      </c>
      <c r="F190" s="40">
        <v>6700</v>
      </c>
      <c r="G190"/>
    </row>
    <row r="191" spans="1:7" x14ac:dyDescent="0.25">
      <c r="A191" s="13">
        <v>190</v>
      </c>
      <c r="B191" s="37" t="s">
        <v>1152</v>
      </c>
      <c r="C191" t="s">
        <v>817</v>
      </c>
      <c r="D191" s="22" t="s">
        <v>3</v>
      </c>
      <c r="E191" s="27" t="s">
        <v>1109</v>
      </c>
      <c r="F191" s="40">
        <v>5</v>
      </c>
      <c r="G191"/>
    </row>
    <row r="192" spans="1:7" x14ac:dyDescent="0.25">
      <c r="A192" s="13">
        <v>191</v>
      </c>
      <c r="B192" s="37" t="s">
        <v>1153</v>
      </c>
      <c r="C192" t="s">
        <v>818</v>
      </c>
      <c r="D192" s="22" t="s">
        <v>3</v>
      </c>
      <c r="E192" s="27" t="s">
        <v>1109</v>
      </c>
      <c r="F192" s="40">
        <v>5</v>
      </c>
      <c r="G192"/>
    </row>
    <row r="193" spans="1:7" x14ac:dyDescent="0.25">
      <c r="A193" s="13">
        <v>192</v>
      </c>
      <c r="B193" s="37" t="s">
        <v>1154</v>
      </c>
      <c r="C193" t="s">
        <v>819</v>
      </c>
      <c r="D193" s="22" t="s">
        <v>3</v>
      </c>
      <c r="E193" s="27" t="s">
        <v>1109</v>
      </c>
      <c r="F193" s="40">
        <v>15392</v>
      </c>
      <c r="G193"/>
    </row>
    <row r="194" spans="1:7" x14ac:dyDescent="0.25">
      <c r="A194" s="13">
        <v>193</v>
      </c>
      <c r="B194" s="37" t="s">
        <v>1155</v>
      </c>
      <c r="C194" t="s">
        <v>1057</v>
      </c>
      <c r="D194" s="22" t="s">
        <v>3</v>
      </c>
      <c r="E194" s="27" t="s">
        <v>1109</v>
      </c>
      <c r="F194" s="40">
        <v>7641.6</v>
      </c>
      <c r="G194"/>
    </row>
    <row r="195" spans="1:7" x14ac:dyDescent="0.25">
      <c r="A195" s="13">
        <v>194</v>
      </c>
      <c r="B195" s="37" t="s">
        <v>1156</v>
      </c>
      <c r="C195" t="s">
        <v>1058</v>
      </c>
      <c r="D195" s="22" t="s">
        <v>3</v>
      </c>
      <c r="E195" s="27" t="s">
        <v>1109</v>
      </c>
      <c r="F195" s="40">
        <v>9087.31</v>
      </c>
      <c r="G195"/>
    </row>
    <row r="196" spans="1:7" x14ac:dyDescent="0.25">
      <c r="A196" s="13">
        <v>195</v>
      </c>
      <c r="B196" s="37" t="s">
        <v>1157</v>
      </c>
      <c r="C196" t="s">
        <v>1059</v>
      </c>
      <c r="D196" s="22" t="s">
        <v>3</v>
      </c>
      <c r="E196" s="27" t="s">
        <v>1109</v>
      </c>
      <c r="F196" s="40">
        <v>10260</v>
      </c>
      <c r="G196"/>
    </row>
    <row r="197" spans="1:7" x14ac:dyDescent="0.25">
      <c r="A197" s="13">
        <v>196</v>
      </c>
      <c r="B197" s="37" t="s">
        <v>1158</v>
      </c>
      <c r="C197" t="s">
        <v>1060</v>
      </c>
      <c r="D197" s="22" t="s">
        <v>3</v>
      </c>
      <c r="E197" s="27" t="s">
        <v>1109</v>
      </c>
      <c r="F197" s="40">
        <v>14000</v>
      </c>
      <c r="G197"/>
    </row>
    <row r="198" spans="1:7" x14ac:dyDescent="0.25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1159</v>
      </c>
      <c r="C199" t="s">
        <v>1061</v>
      </c>
      <c r="D199" s="22" t="s">
        <v>3</v>
      </c>
      <c r="E199" s="27" t="s">
        <v>1109</v>
      </c>
      <c r="F199" s="40">
        <v>13600</v>
      </c>
      <c r="G199"/>
    </row>
    <row r="200" spans="1:7" x14ac:dyDescent="0.25">
      <c r="A200" s="13">
        <v>198</v>
      </c>
      <c r="B200" s="37" t="s">
        <v>1160</v>
      </c>
      <c r="C200" t="s">
        <v>1062</v>
      </c>
      <c r="D200" s="22" t="s">
        <v>3</v>
      </c>
      <c r="E200" s="27" t="s">
        <v>1109</v>
      </c>
      <c r="F200" s="40">
        <v>5</v>
      </c>
      <c r="G200"/>
    </row>
    <row r="201" spans="1:7" x14ac:dyDescent="0.25">
      <c r="A201" s="13">
        <v>199</v>
      </c>
      <c r="B201" s="37" t="s">
        <v>1161</v>
      </c>
      <c r="C201" t="s">
        <v>1063</v>
      </c>
      <c r="D201" s="22" t="s">
        <v>3</v>
      </c>
      <c r="E201" s="27" t="s">
        <v>1109</v>
      </c>
      <c r="F201" s="40">
        <v>22305.22</v>
      </c>
      <c r="G201"/>
    </row>
    <row r="202" spans="1:7" x14ac:dyDescent="0.25">
      <c r="A202" s="13">
        <v>200</v>
      </c>
      <c r="B202" s="37" t="s">
        <v>1162</v>
      </c>
      <c r="C202" t="s">
        <v>1064</v>
      </c>
      <c r="D202" s="22" t="s">
        <v>3</v>
      </c>
      <c r="E202" s="27" t="s">
        <v>1109</v>
      </c>
      <c r="F202" s="40">
        <v>25000</v>
      </c>
      <c r="G202"/>
    </row>
    <row r="203" spans="1:7" x14ac:dyDescent="0.25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1163</v>
      </c>
      <c r="C204" t="s">
        <v>1065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1164</v>
      </c>
      <c r="C205" t="s">
        <v>1066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1165</v>
      </c>
      <c r="C206" t="s">
        <v>1067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1166</v>
      </c>
      <c r="C207" t="s">
        <v>1068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25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25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25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25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25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1069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1070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1071</v>
      </c>
      <c r="D216" s="22" t="s">
        <v>3</v>
      </c>
      <c r="E216" s="27" t="s">
        <v>1109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1072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1073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1074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1167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1168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1074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1167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1075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1076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1077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1078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1079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1080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1081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1082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1083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1084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1085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1086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1087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1088</v>
      </c>
      <c r="D237" s="22" t="s">
        <v>3</v>
      </c>
      <c r="E237" s="25" t="s">
        <v>768</v>
      </c>
      <c r="F237" s="40">
        <v>5</v>
      </c>
      <c r="G237"/>
    </row>
    <row r="238" spans="1:7" x14ac:dyDescent="0.25">
      <c r="A238" s="13">
        <v>229</v>
      </c>
      <c r="B238" s="10" t="s">
        <v>779</v>
      </c>
      <c r="C238" t="s">
        <v>1089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1090</v>
      </c>
      <c r="D239" s="22" t="s">
        <v>3</v>
      </c>
      <c r="E239" s="25" t="s">
        <v>768</v>
      </c>
      <c r="F239" s="40">
        <v>45000</v>
      </c>
      <c r="G239"/>
    </row>
    <row r="240" spans="1:7" x14ac:dyDescent="0.25">
      <c r="A240" s="13">
        <v>231</v>
      </c>
      <c r="B240" s="10" t="s">
        <v>781</v>
      </c>
      <c r="C240" t="s">
        <v>1091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1092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1093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1094</v>
      </c>
      <c r="D243" s="22" t="s">
        <v>3</v>
      </c>
      <c r="E243" s="27" t="s">
        <v>1109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1095</v>
      </c>
      <c r="D244" s="22" t="s">
        <v>3</v>
      </c>
      <c r="E244" s="27" t="s">
        <v>1109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1096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1097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1098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1099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1100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1101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1169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1170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1170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1171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1172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1102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1103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1104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1105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25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25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25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25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1507</v>
      </c>
    </row>
    <row r="2" spans="1:6" x14ac:dyDescent="0.25">
      <c r="A2" s="14" t="s">
        <v>1151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1508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1509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1226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1226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1226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1226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1226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1226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1512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1226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1173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1173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1323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1173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1324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1322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1173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1449</v>
      </c>
    </row>
    <row r="13" spans="1:10" x14ac:dyDescent="0.25">
      <c r="A13" t="s">
        <v>1173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1450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1449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1173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1450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1449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1449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1452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1173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1219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1220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1226</v>
      </c>
      <c r="D2">
        <v>42</v>
      </c>
      <c r="E2">
        <v>42</v>
      </c>
    </row>
    <row r="3" spans="1:5" x14ac:dyDescent="0.25">
      <c r="A3" t="s">
        <v>1218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1226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2026-08-23T21:04:43Z</dcterms:modified>
</cp:coreProperties>
</file>