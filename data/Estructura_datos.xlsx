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8B3719DD-8AF2-4EF2-93B1-EB930D122308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AC-SUB3" sheetId="214" r:id="rId5"/>
    <sheet name="PM-30" sheetId="99" r:id="rId6"/>
    <sheet name="PM-35" sheetId="100" r:id="rId7"/>
    <sheet name="PM-40" sheetId="101" r:id="rId8"/>
    <sheet name="PM-45" sheetId="102" r:id="rId9"/>
    <sheet name="PC-30" sheetId="5" r:id="rId10"/>
    <sheet name="PC-35" sheetId="210" r:id="rId11"/>
    <sheet name="PC-40" sheetId="2" r:id="rId12"/>
    <sheet name="PC-45" sheetId="18" r:id="rId13"/>
    <sheet name="PC-50" sheetId="203" r:id="rId14"/>
    <sheet name="PCA-30" sheetId="89" r:id="rId15"/>
    <sheet name="PCA-35" sheetId="88" r:id="rId16"/>
    <sheet name="PCA-40" sheetId="87" r:id="rId17"/>
    <sheet name="PCA-45" sheetId="19" r:id="rId18"/>
    <sheet name="PCA-50" sheetId="202" r:id="rId19"/>
    <sheet name="PT-30" sheetId="190" r:id="rId20"/>
    <sheet name="PT-35" sheetId="191" r:id="rId21"/>
    <sheet name="PT-40" sheetId="192" r:id="rId22"/>
    <sheet name="PT-45" sheetId="193" r:id="rId23"/>
    <sheet name="PCA-40-2000Lb" sheetId="198" r:id="rId24"/>
    <sheet name="PCA-40-3000Lb" sheetId="199" r:id="rId25"/>
    <sheet name="PCA-45-2000Lb" sheetId="201" r:id="rId26"/>
    <sheet name="PCA-45-3000Lb" sheetId="200" r:id="rId27"/>
    <sheet name="PCA-50-2000Lb" sheetId="196" r:id="rId28"/>
    <sheet name="PC-50-3000Lb" sheetId="197" r:id="rId29"/>
    <sheet name="A-I-1" sheetId="3" r:id="rId30"/>
    <sheet name="A-I-1V" sheetId="84" r:id="rId31"/>
    <sheet name="A-I-2" sheetId="4" r:id="rId32"/>
    <sheet name="A-I-4" sheetId="8" r:id="rId33"/>
    <sheet name="A-I-4A" sheetId="9" r:id="rId34"/>
    <sheet name="A-I-4B" sheetId="10" r:id="rId35"/>
    <sheet name="A-I-4C" sheetId="11" r:id="rId36"/>
    <sheet name="A-I-4V" sheetId="12" r:id="rId37"/>
    <sheet name="A-I-5" sheetId="13" r:id="rId38"/>
    <sheet name="A-I-5V" sheetId="93" r:id="rId39"/>
    <sheet name="A-I-6" sheetId="29" r:id="rId40"/>
    <sheet name="A-I-7" sheetId="30" r:id="rId41"/>
    <sheet name="A-I-7V" sheetId="31" r:id="rId42"/>
    <sheet name="A-I-8" sheetId="32" r:id="rId43"/>
    <sheet name="A-I-8V" sheetId="33" r:id="rId44"/>
    <sheet name="A-I-9" sheetId="34" r:id="rId45"/>
    <sheet name="A-I-9V" sheetId="35" r:id="rId46"/>
    <sheet name="A-II-1" sheetId="36" r:id="rId47"/>
    <sheet name="A-II-1V" sheetId="37" r:id="rId48"/>
    <sheet name="A-II-2" sheetId="38" r:id="rId49"/>
    <sheet name="A-II-2V" sheetId="39" r:id="rId50"/>
    <sheet name="A-II-3" sheetId="40" r:id="rId51"/>
    <sheet name="A-II-4" sheetId="41" r:id="rId52"/>
    <sheet name="A-II-4A" sheetId="42" r:id="rId53"/>
    <sheet name="A-II-4D" sheetId="43" r:id="rId54"/>
    <sheet name="A-II-4E" sheetId="44" r:id="rId55"/>
    <sheet name="A-II-4V" sheetId="45" r:id="rId56"/>
    <sheet name="A-II-5" sheetId="46" r:id="rId57"/>
    <sheet name="A-II-5V" sheetId="47" r:id="rId58"/>
    <sheet name="A-II-6" sheetId="48" r:id="rId59"/>
    <sheet name="A-II-6A" sheetId="49" r:id="rId60"/>
    <sheet name="A-II-6R" sheetId="50" r:id="rId61"/>
    <sheet name="A-II-7" sheetId="51" r:id="rId62"/>
    <sheet name="A-II-7A" sheetId="52" r:id="rId63"/>
    <sheet name="A-II-7V" sheetId="53" r:id="rId64"/>
    <sheet name="A-II-7VA" sheetId="54" r:id="rId65"/>
    <sheet name="A-II-8" sheetId="55" r:id="rId66"/>
    <sheet name="A-II-8A" sheetId="56" r:id="rId67"/>
    <sheet name="A-II-8V" sheetId="57" r:id="rId68"/>
    <sheet name="A-II-8VA" sheetId="58" r:id="rId69"/>
    <sheet name="A-II-9" sheetId="59" r:id="rId70"/>
    <sheet name="A-II-9A" sheetId="60" r:id="rId71"/>
    <sheet name="A-II-9V" sheetId="61" r:id="rId72"/>
    <sheet name="A-II-9VA" sheetId="62" r:id="rId73"/>
    <sheet name="A-III-1" sheetId="16" r:id="rId74"/>
    <sheet name="A-III-1N" sheetId="65" r:id="rId75"/>
    <sheet name="A-III-1V" sheetId="66" r:id="rId76"/>
    <sheet name="A-III-2" sheetId="63" r:id="rId77"/>
    <sheet name="A-III-2N" sheetId="67" r:id="rId78"/>
    <sheet name="A-III-2V" sheetId="68" r:id="rId79"/>
    <sheet name="A-III-3" sheetId="64" r:id="rId80"/>
    <sheet name="A-III-4" sheetId="73" r:id="rId81"/>
    <sheet name="A-III-4A" sheetId="69" r:id="rId82"/>
    <sheet name="A-III-4D" sheetId="70" r:id="rId83"/>
    <sheet name="A-III-4E" sheetId="71" r:id="rId84"/>
    <sheet name="A-III-4N" sheetId="72" r:id="rId85"/>
    <sheet name="A-III-4V" sheetId="74" r:id="rId86"/>
    <sheet name="A-III-5" sheetId="77" r:id="rId87"/>
    <sheet name="A-III-5N" sheetId="17" r:id="rId88"/>
    <sheet name="A-III-5R" sheetId="75" r:id="rId89"/>
    <sheet name="A-III-5V" sheetId="76" r:id="rId90"/>
    <sheet name="A-III-6" sheetId="204" r:id="rId91"/>
    <sheet name="A-III-6A" sheetId="78" r:id="rId92"/>
    <sheet name="A-III-6N" sheetId="79" r:id="rId93"/>
    <sheet name="A-III-7" sheetId="153" r:id="rId94"/>
    <sheet name="A-III-7A" sheetId="154" r:id="rId95"/>
    <sheet name="A-III-7B" sheetId="155" r:id="rId96"/>
    <sheet name="A-III-7V" sheetId="156" r:id="rId97"/>
    <sheet name="A-III-7VA" sheetId="157" r:id="rId98"/>
    <sheet name="A-III-7VB" sheetId="158" r:id="rId99"/>
    <sheet name="A-III-8" sheetId="159" r:id="rId100"/>
    <sheet name="A-III-9" sheetId="160" r:id="rId101"/>
    <sheet name="ER-III-1" sheetId="177" r:id="rId102"/>
    <sheet name="ER-III-2" sheetId="178" r:id="rId103"/>
    <sheet name="ER-III-4" sheetId="179" r:id="rId104"/>
    <sheet name="ER-III-5" sheetId="180" r:id="rId105"/>
    <sheet name="ER-III-6" sheetId="181" r:id="rId106"/>
    <sheet name="ER-III-7" sheetId="182" r:id="rId107"/>
    <sheet name="ER-III-7A" sheetId="183" r:id="rId108"/>
    <sheet name="ER-III-7B" sheetId="184" r:id="rId109"/>
    <sheet name="ER-III-8" sheetId="185" r:id="rId110"/>
    <sheet name="ER-III-8A" sheetId="186" r:id="rId111"/>
    <sheet name="ER-III-8B" sheetId="187" r:id="rId112"/>
    <sheet name="ER-III-9" sheetId="188" r:id="rId113"/>
    <sheet name="TM-III-1" sheetId="211" r:id="rId114"/>
    <sheet name="TM-III-2" sheetId="212" r:id="rId115"/>
    <sheet name="DTN-III-1" sheetId="206" r:id="rId116"/>
    <sheet name="DTN-III-2" sheetId="207" r:id="rId117"/>
    <sheet name="DTN-III-5" sheetId="208" r:id="rId118"/>
    <sheet name="DTN-III-6" sheetId="209" r:id="rId119"/>
    <sheet name="B-I-1" sheetId="20" r:id="rId120"/>
    <sheet name="B-I-3" sheetId="103" r:id="rId121"/>
    <sheet name="B-I-4" sheetId="104" r:id="rId122"/>
    <sheet name="B-I-4B" sheetId="81" r:id="rId123"/>
    <sheet name="B-I-4F" sheetId="105" r:id="rId124"/>
    <sheet name="B-I-5" sheetId="21" r:id="rId125"/>
    <sheet name="B-I-6" sheetId="205" r:id="rId126"/>
    <sheet name="B-I-7" sheetId="82" r:id="rId127"/>
    <sheet name="B-I-7A" sheetId="114" r:id="rId128"/>
    <sheet name="B-I-7B" sheetId="113" r:id="rId129"/>
    <sheet name="B-I-7C" sheetId="115" r:id="rId130"/>
    <sheet name="B-I-8" sheetId="116" r:id="rId131"/>
    <sheet name="B-II-1" sheetId="6" r:id="rId132"/>
    <sheet name="B-II-2" sheetId="7" r:id="rId133"/>
    <sheet name="B-II-4" sheetId="97" r:id="rId134"/>
    <sheet name="B-II-4A" sheetId="126" r:id="rId135"/>
    <sheet name="B-II-4B" sheetId="127" r:id="rId136"/>
    <sheet name="B-II-4C" sheetId="22" r:id="rId137"/>
    <sheet name="B-II-4D" sheetId="128" r:id="rId138"/>
    <sheet name="B-II-4E" sheetId="129" r:id="rId139"/>
    <sheet name="B-II-4F" sheetId="130" r:id="rId140"/>
    <sheet name="B-II-5" sheetId="131" r:id="rId141"/>
    <sheet name="B-II-6" sheetId="132" r:id="rId142"/>
    <sheet name="B-II-6A" sheetId="133" r:id="rId143"/>
    <sheet name="B-II-6B" sheetId="134" r:id="rId144"/>
    <sheet name="B-II-7" sheetId="135" r:id="rId145"/>
    <sheet name="B-II-7A" sheetId="136" r:id="rId146"/>
    <sheet name="B-II-8" sheetId="137" r:id="rId147"/>
    <sheet name="B-II-9" sheetId="138" r:id="rId148"/>
    <sheet name="B-III-1" sheetId="85" r:id="rId149"/>
    <sheet name="B-III-2" sheetId="162" r:id="rId150"/>
    <sheet name="B-III-4" sheetId="94" r:id="rId151"/>
    <sheet name="B-III-4A" sheetId="163" r:id="rId152"/>
    <sheet name="B-III-4B" sheetId="165" r:id="rId153"/>
    <sheet name="B-III-4C" sheetId="86" r:id="rId154"/>
    <sheet name="B-III-4D" sheetId="166" r:id="rId155"/>
    <sheet name="B-III-4E" sheetId="167" r:id="rId156"/>
    <sheet name="B-III-4F" sheetId="168" r:id="rId157"/>
    <sheet name="B-III-5" sheetId="95" r:id="rId158"/>
    <sheet name="B-III-6" sheetId="96" r:id="rId159"/>
    <sheet name="B-III-6A" sheetId="161" r:id="rId160"/>
    <sheet name="B-III-6B" sheetId="169" r:id="rId161"/>
    <sheet name="B-III-7" sheetId="170" r:id="rId162"/>
    <sheet name="B-III-7A" sheetId="171" r:id="rId163"/>
    <sheet name="B-III-8" sheetId="172" r:id="rId164"/>
    <sheet name="B-III-9" sheetId="173" r:id="rId165"/>
    <sheet name="G-I-1" sheetId="117" r:id="rId166"/>
    <sheet name="G-I-4" sheetId="118" r:id="rId167"/>
    <sheet name="G-I-5" sheetId="119" r:id="rId168"/>
    <sheet name="G-I-6" sheetId="120" r:id="rId169"/>
    <sheet name="G-I-7" sheetId="121" r:id="rId170"/>
    <sheet name="GB-I-1" sheetId="122" r:id="rId171"/>
    <sheet name="GB-I-1A" sheetId="123" r:id="rId172"/>
    <sheet name="GB-I-4" sheetId="124" r:id="rId173"/>
    <sheet name="GB-I-5" sheetId="125" r:id="rId174"/>
    <sheet name="TS-15KVA" sheetId="108" r:id="rId175"/>
    <sheet name="TS-25KVA" sheetId="109" r:id="rId176"/>
    <sheet name="TS-37.5KVA" sheetId="14" r:id="rId177"/>
    <sheet name="TS-50KVA" sheetId="80" r:id="rId178"/>
    <sheet name="TS-75KVA" sheetId="110" r:id="rId179"/>
    <sheet name="TS-100KVA" sheetId="111" r:id="rId180"/>
    <sheet name="TD-15KVA" sheetId="139" r:id="rId181"/>
    <sheet name="TD-25KVA" sheetId="140" r:id="rId182"/>
    <sheet name="TD-37.5KVA" sheetId="141" r:id="rId183"/>
    <sheet name="TD-50KVA" sheetId="142" r:id="rId184"/>
    <sheet name="TD-75KVA" sheetId="143" r:id="rId185"/>
    <sheet name="TD-100KVA" sheetId="144" r:id="rId186"/>
    <sheet name="TT-15KVA" sheetId="145" r:id="rId187"/>
    <sheet name="TT-25KVA" sheetId="148" r:id="rId188"/>
    <sheet name="TT-37.5KVA" sheetId="149" r:id="rId189"/>
    <sheet name="TT-50KVA" sheetId="150" r:id="rId190"/>
    <sheet name="TT-75KVA" sheetId="151" r:id="rId191"/>
    <sheet name="TT-100KVA" sheetId="152" r:id="rId192"/>
    <sheet name="CA-32" sheetId="194" r:id="rId193"/>
    <sheet name="CS-1" sheetId="175" r:id="rId194"/>
    <sheet name="CS-2" sheetId="83" r:id="rId195"/>
    <sheet name="CT-N" sheetId="23" r:id="rId196"/>
    <sheet name="CT-G" sheetId="176" r:id="rId197"/>
    <sheet name="LL-1-50W" sheetId="189" r:id="rId198"/>
    <sheet name="LL-1-28-50W" sheetId="90" r:id="rId199"/>
    <sheet name="LL-1-100W" sheetId="107" r:id="rId200"/>
    <sheet name="LL-1-150W" sheetId="213" r:id="rId201"/>
    <sheet name="LL-1-200W" sheetId="174" r:id="rId202"/>
    <sheet name="R-1" sheetId="24" r:id="rId203"/>
    <sheet name="R-2" sheetId="25" r:id="rId204"/>
    <sheet name="R-3" sheetId="92" r:id="rId205"/>
    <sheet name="R-3C" sheetId="91" r:id="rId206"/>
    <sheet name="R-3V" sheetId="106" r:id="rId207"/>
    <sheet name="R-4" sheetId="26" r:id="rId208"/>
    <sheet name="R-5T" sheetId="112" r:id="rId209"/>
  </sheets>
  <definedNames>
    <definedName name="cod" localSheetId="4">tbmateriales[[#All],[CODIGO]]</definedName>
    <definedName name="cod" localSheetId="90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00">tbmateriales[[#All],[CODIGO]]</definedName>
    <definedName name="cod" localSheetId="120">tbmateriales[[#All],[CODIGO]]</definedName>
    <definedName name="cod" localSheetId="121">tbmateriales[[#All],[CODIGO]]</definedName>
    <definedName name="cod" localSheetId="123">tbmateriales[[#All],[CODIGO]]</definedName>
    <definedName name="cod" localSheetId="125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0">tbmateriales[[#All],[CODIGO]]</definedName>
    <definedName name="cod" localSheetId="134">tbmateriales[[#All],[CODIGO]]</definedName>
    <definedName name="cod" localSheetId="135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7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4">tbmateriales[[#All],[CODIGO]]</definedName>
    <definedName name="cod" localSheetId="155">tbmateriales[[#All],[CODIGO]]</definedName>
    <definedName name="cod" localSheetId="156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92">tbmateriales[[#All],[CODIGO]]</definedName>
    <definedName name="cod" localSheetId="193">tbmateriales[[#All],[CODIGO]]</definedName>
    <definedName name="cod" localSheetId="196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18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12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73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2">tbmateriales4[[#All],[CÓDIGO]]</definedName>
    <definedName name="cod" localSheetId="199">tbmateriales[[#All],[CODIGO]]</definedName>
    <definedName name="cod" localSheetId="200">tbmateriales[[#All],[CODIGO]]</definedName>
    <definedName name="cod" localSheetId="201">tbmateriales[[#All],[CODIGO]]</definedName>
    <definedName name="cod" localSheetId="197">tbmateriales[[#All],[CODIGO]]</definedName>
    <definedName name="cod" localSheetId="10">tbmateriales[[#All],[CODIGO]]</definedName>
    <definedName name="cod" localSheetId="13">tbmateriales[[#All],[CODIGO]]</definedName>
    <definedName name="cod" localSheetId="28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26">tbmateriales[[#All],[CODIGO]]</definedName>
    <definedName name="cod" localSheetId="18">tbmateriales[[#All],[CODIGO]]</definedName>
    <definedName name="cod" localSheetId="27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2">tbmateriales[[#All],[CODIGO]]</definedName>
    <definedName name="cod" localSheetId="206">tbmateriales[[#All],[CODIGO]]</definedName>
    <definedName name="cod" localSheetId="208">tbmateriales[[#All],[CODIGO]]</definedName>
    <definedName name="cod" localSheetId="185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13">tbmateriales[[#All],[CODIGO]]</definedName>
    <definedName name="cod" localSheetId="114">tbmateriales[[#All],[CODIGO]]</definedName>
    <definedName name="cod" localSheetId="179">tbmateriales[[#All],[CODIGO]]</definedName>
    <definedName name="cod" localSheetId="174">tbmateriales[[#All],[CODIGO]]</definedName>
    <definedName name="cod" localSheetId="175">tbmateriales[[#All],[CODIGO]]</definedName>
    <definedName name="cod" localSheetId="178">tbmateriales[[#All],[CODIGO]]</definedName>
    <definedName name="cod" localSheetId="191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 localSheetId="190">tbmateriales[[#All],[CODIGO]]</definedName>
    <definedName name="cod">tbmateriales[[#All],[CODIGO]]</definedName>
    <definedName name="tmat" localSheetId="4">tbmateriales[[#All],[CODIGO]:[REFERENCIA]]</definedName>
    <definedName name="tmat" localSheetId="90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20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5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0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7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92">tbmateriales[[#All],[CODIGO]:[REFERENCIA]]</definedName>
    <definedName name="tmat" localSheetId="193">tbmateriales[[#All],[CODIGO]:[REFERENCIA]]</definedName>
    <definedName name="tmat" localSheetId="196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3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2">tbmateriales4[[#All],[CÓDIGO]:[REFERENCIA]]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201">tbmateriales[[#All],[CODIGO]:[REFERENCIA]]</definedName>
    <definedName name="tmat" localSheetId="197">tbmateriales[[#All],[CODIGO]:[REFERENCIA]]</definedName>
    <definedName name="tmat" localSheetId="10">tbmateriales[[#All],[CODIGO]:[REFERENCIA]]</definedName>
    <definedName name="tmat" localSheetId="13">tbmateriales[[#All],[CODIGO]:[REFERENCIA]]</definedName>
    <definedName name="tmat" localSheetId="28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26">tbmateriales[[#All],[CODIGO]:[REFERENCIA]]</definedName>
    <definedName name="tmat" localSheetId="18">tbmateriales[[#All],[CODIGO]:[REFERENCIA]]</definedName>
    <definedName name="tmat" localSheetId="27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06">tbmateriales[[#All],[CODIGO]:[REFERENCIA]]</definedName>
    <definedName name="tmat" localSheetId="208">tbmateriales[[#All],[CODIGO]:[REFERENCIA]]</definedName>
    <definedName name="tmat" localSheetId="185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79">tbmateriales[[#All],[CODIGO]:[REFERENCIA]]</definedName>
    <definedName name="tmat" localSheetId="174">tbmateriales[[#All],[CODIGO]:[REFERENCIA]]</definedName>
    <definedName name="tmat" localSheetId="175">tbmateriales[[#All],[CODIGO]:[REFERENCIA]]</definedName>
    <definedName name="tmat" localSheetId="178">tbmateriales[[#All],[CODIGO]:[REFERENCIA]]</definedName>
    <definedName name="tmat" localSheetId="191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7" i="214" l="1"/>
  <c r="B8" i="214"/>
  <c r="B9" i="214"/>
  <c r="B3" i="214"/>
  <c r="B4" i="214"/>
  <c r="B5" i="214"/>
  <c r="B6" i="214"/>
  <c r="B2" i="214"/>
  <c r="B8" i="213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<sst xmlns="http://schemas.openxmlformats.org/spreadsheetml/2006/main" count="7526" uniqueCount="1527">
  <si>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</si>
  <si>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</si>
  <si>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</si>
  <si>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</si>
  <si>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</si>
  <si>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</si>
  <si>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</si>
  <si>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</si>
  <si>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</si>
  <si>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</si>
  <si>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</si>
  <si>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</si>
  <si>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</si>
  <si>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</si>
  <si>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</si>
  <si>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</si>
  <si>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</si>
  <si>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</si>
  <si>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</si>
  <si>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</si>
  <si>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</si>
  <si>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</si>
  <si>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</si>
  <si>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</si>
  <si>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</si>
  <si>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</si>
  <si>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</si>
  <si>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</si>
  <si>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</si>
  <si>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</si>
  <si>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</si>
  <si>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</si>
  <si>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</si>
  <si>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</si>
  <si>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</si>
  <si>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</si>
  <si>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</si>
  <si>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</si>
  <si>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</si>
  <si>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</si>
  <si>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</si>
  <si>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</si>
  <si>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</si>
  <si>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</si>
  <si>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</si>
  <si>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</si>
  <si>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</si>
  <si>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</si>
  <si>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</si>
  <si>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</si>
  <si>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</si>
  <si>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</si>
  <si>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</si>
  <si>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</si>
  <si>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</si>
  <si>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</si>
  <si>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</si>
  <si>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</si>
  <si>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</si>
  <si>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</si>
  <si>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</si>
  <si>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</si>
  <si>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</si>
  <si>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</si>
  <si>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</si>
  <si>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</si>
  <si>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</si>
  <si>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</si>
  <si>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</si>
  <si>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</si>
  <si>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</si>
  <si>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</si>
  <si>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</si>
  <si>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</si>
  <si>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</si>
  <si>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</si>
  <si>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</si>
  <si>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</si>
  <si>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</si>
  <si>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</si>
  <si>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</si>
  <si>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</si>
  <si>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</si>
  <si>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</si>
  <si>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</si>
  <si>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</si>
  <si>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</si>
  <si>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</si>
  <si>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</si>
  <si>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</si>
  <si>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</si>
  <si>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</si>
  <si>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</si>
  <si>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</si>
  <si>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</si>
  <si>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</si>
  <si>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</si>
  <si>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</si>
  <si>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</si>
  <si>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</si>
  <si>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</si>
  <si>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</si>
  <si>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</si>
  <si>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</si>
  <si>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</si>
  <si>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</si>
  <si>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</si>
  <si>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</si>
  <si>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</si>
  <si>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</si>
  <si>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</si>
  <si>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</si>
  <si>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</si>
  <si>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</si>
  <si>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</si>
  <si>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</si>
  <si>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</si>
  <si>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</si>
  <si>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</si>
  <si>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</si>
  <si>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</si>
  <si>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</si>
  <si>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</si>
  <si>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</si>
  <si>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</si>
  <si>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</si>
  <si>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</si>
  <si>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</si>
  <si>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</si>
  <si>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</si>
  <si>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</si>
  <si>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</si>
  <si>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</si>
  <si>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</si>
  <si>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</si>
  <si>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</si>
  <si>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</si>
  <si>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</si>
  <si>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</si>
  <si>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</si>
  <si>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</si>
  <si>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</si>
  <si>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</si>
  <si>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</si>
  <si>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</si>
  <si>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</si>
  <si>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</si>
  <si>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</si>
  <si>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</si>
  <si>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</si>
  <si>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</si>
  <si>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</si>
  <si>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</si>
  <si>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</si>
  <si>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</si>
  <si>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</si>
  <si>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</si>
  <si>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</si>
  <si>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</si>
  <si>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</si>
  <si>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</si>
  <si>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</si>
  <si>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</si>
  <si>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</si>
  <si>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</si>
  <si>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</si>
  <si>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</si>
  <si>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</si>
  <si>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</si>
  <si>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</si>
  <si>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</si>
  <si>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</si>
  <si>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</si>
  <si>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</si>
  <si>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</si>
  <si>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</si>
  <si>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</si>
  <si>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</si>
  <si>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</si>
  <si>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</si>
  <si>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</si>
  <si>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</si>
  <si>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</si>
  <si>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</si>
  <si>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</si>
  <si>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</si>
  <si>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</si>
  <si>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</si>
  <si>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</si>
  <si>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</si>
  <si>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</si>
  <si>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</si>
  <si>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</si>
  <si>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</si>
  <si>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</si>
  <si>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</si>
  <si>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</si>
  <si>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</si>
  <si>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</si>
  <si>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</si>
  <si>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</si>
  <si>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</si>
  <si>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</si>
  <si>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</si>
  <si>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</si>
  <si>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</si>
  <si>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</si>
  <si>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</si>
  <si>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</si>
  <si>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</si>
  <si>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</si>
  <si>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</si>
  <si>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</si>
  <si>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</si>
  <si>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</si>
  <si>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</si>
  <si>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</si>
  <si>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</si>
  <si>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</si>
  <si>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</si>
  <si>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</si>
  <si>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</si>
  <si>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</si>
  <si>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</si>
  <si>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</si>
  <si>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</si>
  <si>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</si>
  <si>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</si>
  <si>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</si>
  <si>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</si>
  <si>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</si>
  <si>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</si>
  <si>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</si>
  <si>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</si>
  <si>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</si>
  <si>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</si>
  <si>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</si>
  <si>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</si>
  <si>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</si>
  <si>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</si>
  <si>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</si>
  <si>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</si>
  <si>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</si>
  <si>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</si>
  <si>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</si>
  <si>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</si>
  <si>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</si>
  <si>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</si>
  <si>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</si>
  <si>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</si>
  <si>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</si>
  <si>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</si>
  <si>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</si>
  <si>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</si>
  <si>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</si>
  <si>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</si>
  <si>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</si>
  <si>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</si>
  <si>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</si>
  <si>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</si>
  <si>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</si>
  <si>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</si>
  <si>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</si>
  <si>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</si>
  <si>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</si>
  <si>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</si>
  <si>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</si>
  <si>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</si>
  <si>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</si>
  <si>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</si>
  <si>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</si>
  <si>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</si>
  <si>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</si>
  <si>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</si>
  <si>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</si>
  <si>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</si>
  <si>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</si>
  <si>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</si>
  <si>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</si>
  <si>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</si>
  <si>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</si>
  <si>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</si>
  <si>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</si>
  <si>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</si>
  <si>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</si>
  <si>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</si>
  <si>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</si>
  <si>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</si>
  <si>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</si>
  <si>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</si>
  <si>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</si>
  <si>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</si>
  <si>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</si>
  <si>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</si>
  <si>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</si>
  <si>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</si>
  <si>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</si>
  <si>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</si>
  <si>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</si>
  <si>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</si>
  <si>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</si>
  <si>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</si>
  <si>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</si>
  <si>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</si>
  <si>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</si>
  <si>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</si>
  <si>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</si>
  <si>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</si>
  <si>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</si>
  <si>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</si>
  <si>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</si>
  <si>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</si>
  <si>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</si>
  <si>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</si>
  <si>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</si>
  <si>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</si>
  <si>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</si>
  <si>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</si>
  <si>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</si>
  <si>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</si>
  <si>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</si>
  <si>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</si>
  <si>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</si>
  <si>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</si>
  <si>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</si>
  <si>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</si>
  <si>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</si>
  <si>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</si>
  <si>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</si>
  <si>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</si>
  <si>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</si>
  <si>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</si>
  <si>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</si>
  <si>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</si>
  <si>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</si>
  <si>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</si>
  <si>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</si>
  <si>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</si>
  <si>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</si>
  <si>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</si>
  <si>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</si>
  <si>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</si>
  <si>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</si>
  <si>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</si>
  <si>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</si>
  <si>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</si>
  <si>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</si>
  <si>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</si>
  <si>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</si>
  <si>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</si>
  <si>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</si>
  <si>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</si>
  <si>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</si>
  <si>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</si>
  <si>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</si>
  <si>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</si>
  <si>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</si>
  <si>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</si>
  <si>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</si>
  <si>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</si>
  <si>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</si>
  <si>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</si>
  <si>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</si>
  <si>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</si>
  <si>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</si>
  <si>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</si>
  <si>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</si>
  <si>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</si>
  <si>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</si>
  <si>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</si>
  <si>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</si>
  <si>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</si>
  <si>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</si>
  <si>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</si>
  <si>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</si>
  <si>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</si>
  <si>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</si>
  <si>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</si>
  <si>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</si>
  <si>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</si>
  <si>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</si>
  <si>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</si>
  <si>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</si>
  <si>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</si>
  <si>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</si>
  <si>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</si>
  <si>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</si>
  <si>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</si>
  <si>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</si>
  <si>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</si>
  <si>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</si>
  <si>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</si>
  <si>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</si>
  <si>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</si>
  <si>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</si>
  <si>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</si>
  <si>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</si>
  <si>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</si>
  <si>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</si>
  <si>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</si>
  <si>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</si>
  <si>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</si>
  <si>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</si>
  <si>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</si>
  <si>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</si>
  <si>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</si>
  <si>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</si>
  <si>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</si>
  <si>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</si>
  <si>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</si>
  <si>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</si>
  <si>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</si>
  <si>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</si>
  <si>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</si>
  <si>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</si>
  <si>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</si>
  <si>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</si>
  <si>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</si>
  <si>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</si>
  <si>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</si>
  <si>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</si>
  <si>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</si>
  <si>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</si>
  <si>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</si>
  <si>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</si>
  <si>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</si>
  <si>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</si>
  <si>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</si>
  <si>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</si>
  <si>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</si>
  <si>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</si>
  <si>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</si>
  <si>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</si>
  <si>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</si>
  <si>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</si>
  <si>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</si>
  <si>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</si>
  <si>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</si>
  <si>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</si>
  <si>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</si>
  <si>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</si>
  <si>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</si>
  <si>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</si>
  <si>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</si>
  <si>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</si>
  <si>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</si>
  <si>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</si>
  <si>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</si>
  <si>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</si>
  <si>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</si>
  <si>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</si>
  <si>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</si>
  <si>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</si>
  <si>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</si>
  <si>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</si>
  <si>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</si>
  <si>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</si>
  <si>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</si>
  <si>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</si>
  <si>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</si>
  <si>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</si>
  <si>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</si>
  <si>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</si>
  <si>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</si>
  <si>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</si>
  <si>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</si>
  <si>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</si>
  <si>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</si>
  <si>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</si>
  <si>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</si>
  <si>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</si>
  <si>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</si>
  <si>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</si>
  <si>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</si>
  <si>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</si>
  <si>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</si>
  <si>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</si>
  <si>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</si>
  <si>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</si>
  <si>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</si>
  <si>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</si>
  <si>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</si>
  <si>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</si>
  <si>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</si>
  <si>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</si>
  <si>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</si>
  <si>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</si>
  <si>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</si>
  <si>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</si>
  <si>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</si>
  <si>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</si>
  <si>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</si>
  <si>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</si>
  <si>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</si>
  <si>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</si>
  <si>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</si>
  <si>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</si>
  <si>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</si>
  <si>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</si>
  <si>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</si>
  <si>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</si>
  <si>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</si>
  <si>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</si>
  <si>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</si>
  <si>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</si>
  <si>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</si>
  <si>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</si>
  <si>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</si>
  <si>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</si>
  <si>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</si>
  <si>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</si>
  <si>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</si>
  <si>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</si>
  <si>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</si>
  <si>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</si>
  <si>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</si>
  <si>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</si>
  <si>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</si>
  <si>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</si>
  <si>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</si>
  <si>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</si>
  <si>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</si>
  <si>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</si>
  <si>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</si>
  <si>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</si>
  <si>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</si>
  <si>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</si>
  <si>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</si>
  <si>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</si>
  <si>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</si>
  <si>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</si>
  <si>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</si>
  <si>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</si>
  <si>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</si>
  <si>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</si>
  <si>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</si>
  <si>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</si>
  <si>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</si>
  <si>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</si>
  <si>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</si>
  <si>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</si>
  <si>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</si>
  <si>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</si>
  <si>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</si>
  <si>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</si>
  <si>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</si>
  <si>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</si>
  <si>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</si>
  <si>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</si>
  <si>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</si>
  <si>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</si>
  <si>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</si>
  <si>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</si>
  <si>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</si>
  <si>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</si>
  <si>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</si>
  <si>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</si>
  <si>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</si>
  <si>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</si>
  <si>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</si>
  <si>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</si>
  <si>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</si>
  <si>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</si>
  <si>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</si>
  <si>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</si>
  <si>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</si>
  <si>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</si>
  <si>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</si>
  <si>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</si>
  <si>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</si>
  <si>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</si>
  <si>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</si>
  <si>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</si>
  <si>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</si>
  <si>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</si>
  <si>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</si>
  <si>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</si>
  <si>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</si>
  <si>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</si>
  <si>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</si>
  <si>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</si>
  <si>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</si>
  <si>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</si>
  <si>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</si>
  <si>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</si>
  <si>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</si>
  <si>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</si>
  <si>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</si>
  <si>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</si>
  <si>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</si>
  <si>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</si>
  <si>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</si>
  <si>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</si>
  <si>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</si>
  <si>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</si>
  <si>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</si>
  <si>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</si>
  <si>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</si>
  <si>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</si>
  <si>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</si>
  <si>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</si>
  <si>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</si>
  <si>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</si>
  <si>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</si>
  <si>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</si>
  <si>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</si>
  <si>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</si>
  <si>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</si>
  <si>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</si>
  <si>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</si>
  <si>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</si>
  <si>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</si>
  <si>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</si>
  <si>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</si>
  <si>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</si>
  <si>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</si>
  <si>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</si>
  <si>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</si>
  <si>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</si>
  <si>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</si>
  <si>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</si>
  <si>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</si>
  <si>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</si>
  <si>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</si>
  <si>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</si>
  <si>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</si>
  <si>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</si>
  <si>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</si>
  <si>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</si>
  <si>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</si>
  <si>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</si>
  <si>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</si>
  <si>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</si>
  <si>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</si>
  <si>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</si>
  <si>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</si>
  <si>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</si>
  <si>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</si>
  <si>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</si>
  <si>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</si>
  <si>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</si>
  <si>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</si>
  <si>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</si>
  <si>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</si>
  <si>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</si>
  <si>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</si>
  <si>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</si>
  <si>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</si>
  <si>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</si>
  <si>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</si>
  <si>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</si>
  <si>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</si>
  <si>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</si>
  <si>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</si>
  <si>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</si>
  <si>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</si>
  <si>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</si>
  <si>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</si>
  <si>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</si>
  <si>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</si>
  <si>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</si>
  <si>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</si>
  <si>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</si>
  <si>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</si>
  <si>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</si>
  <si>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</si>
  <si>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</si>
  <si>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</si>
  <si>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</si>
  <si>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</si>
  <si>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</si>
  <si>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</si>
  <si>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</si>
  <si>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</si>
  <si>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</si>
  <si>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</si>
  <si>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</si>
  <si>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</si>
  <si>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</si>
  <si>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</si>
  <si>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</si>
  <si>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</si>
  <si>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</si>
  <si>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</si>
  <si>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</si>
  <si>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</si>
  <si>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</si>
  <si>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</si>
  <si>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</si>
  <si>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</si>
  <si>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</si>
  <si>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</si>
  <si>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</si>
  <si>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</si>
  <si>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</si>
  <si>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</si>
  <si>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</si>
  <si>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</si>
  <si>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</si>
  <si>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</si>
  <si>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</si>
  <si>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</si>
  <si>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</si>
  <si>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</si>
  <si>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</si>
  <si>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</si>
  <si>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</si>
  <si>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</si>
  <si>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</si>
  <si>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</si>
  <si>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</si>
  <si>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</si>
  <si>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</si>
  <si>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</si>
  <si>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</si>
  <si>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</si>
  <si>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</si>
  <si>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</si>
  <si>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</si>
  <si>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</si>
  <si>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</si>
  <si>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</si>
  <si>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</si>
  <si>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</si>
  <si>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</si>
  <si>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</si>
  <si>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</si>
  <si>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</si>
  <si>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</si>
  <si>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</si>
  <si>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</si>
  <si>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</si>
  <si>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</si>
  <si>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</si>
  <si>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</si>
  <si>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</si>
  <si>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</si>
  <si>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</si>
  <si>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</si>
  <si>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</si>
  <si>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</si>
  <si>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</si>
  <si>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</si>
  <si>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</si>
  <si>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</si>
  <si>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</si>
  <si>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</si>
  <si>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</si>
  <si>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</si>
  <si>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</si>
  <si>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</si>
  <si>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</si>
  <si>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</si>
  <si>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</si>
  <si>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</si>
  <si>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</si>
  <si>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</si>
  <si>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</si>
  <si>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</si>
  <si>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</si>
  <si>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</si>
  <si>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</si>
  <si>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</si>
  <si>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</si>
  <si>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</si>
  <si>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</si>
  <si>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</si>
  <si>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</si>
  <si>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</si>
  <si>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</si>
  <si>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</si>
  <si>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</si>
  <si>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</si>
  <si>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</si>
  <si>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</si>
  <si>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</si>
  <si>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</si>
  <si>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</si>
  <si>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</si>
  <si>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</si>
  <si>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</si>
  <si>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</si>
  <si>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</si>
  <si>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</si>
  <si>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</si>
  <si>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</si>
  <si>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</si>
  <si>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</si>
  <si>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</si>
  <si>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</si>
  <si>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</si>
  <si>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</si>
  <si>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</si>
  <si>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</si>
  <si>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</si>
  <si>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</si>
  <si>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</si>
  <si>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</si>
  <si>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</si>
  <si>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</si>
  <si>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</si>
  <si>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</si>
  <si>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</si>
  <si>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</si>
  <si>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</si>
  <si>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</si>
  <si>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</si>
  <si>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</si>
  <si>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</si>
  <si>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</si>
  <si>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</si>
  <si>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</si>
  <si>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</si>
  <si>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</si>
  <si>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</si>
  <si>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</si>
  <si>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</si>
  <si>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</si>
  <si>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</si>
  <si>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</si>
  <si>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</si>
  <si>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</si>
  <si>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</si>
  <si>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</si>
  <si>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</si>
  <si>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</si>
  <si>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</si>
  <si>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</si>
  <si>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</si>
  <si>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</si>
  <si>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</si>
  <si>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</si>
  <si>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</si>
  <si>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</si>
  <si>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</si>
  <si>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</si>
  <si>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</si>
  <si>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</si>
  <si>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</si>
  <si>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</si>
  <si>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</si>
  <si>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</si>
  <si>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</si>
  <si>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</si>
  <si>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</si>
  <si>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</si>
  <si>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</si>
  <si>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</si>
  <si>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</si>
  <si>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</si>
  <si>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</si>
  <si>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</si>
  <si>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</si>
  <si>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</si>
  <si>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</si>
  <si>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</si>
  <si>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</si>
  <si>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</si>
  <si>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</si>
  <si>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</si>
  <si>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</si>
  <si>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</si>
  <si>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</si>
  <si>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</si>
  <si>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</si>
  <si>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</si>
  <si>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</si>
  <si>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</si>
  <si>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</si>
  <si>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</si>
  <si>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</si>
  <si>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</si>
  <si>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</si>
  <si>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</si>
  <si>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</si>
  <si>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</si>
  <si>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</si>
  <si>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</si>
  <si>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</si>
  <si>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</si>
  <si>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</si>
  <si>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</si>
  <si>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</si>
  <si>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</si>
  <si>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</si>
  <si>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</si>
  <si>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</si>
  <si>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</si>
  <si>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</si>
  <si>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</si>
  <si>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</si>
  <si>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</si>
  <si>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</si>
  <si>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</si>
  <si>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</si>
  <si>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</si>
  <si>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</si>
  <si>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</si>
  <si>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</si>
  <si>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</si>
  <si>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</si>
  <si>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</si>
  <si>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</si>
  <si>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</si>
  <si>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</si>
  <si>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</si>
  <si>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</si>
  <si>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</si>
  <si>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</si>
  <si>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</si>
  <si>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</si>
  <si>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</si>
  <si>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</si>
  <si>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</si>
  <si>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</si>
  <si>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</si>
  <si>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</si>
  <si>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</si>
  <si>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</si>
  <si>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</si>
  <si>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</si>
  <si>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</si>
  <si>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</si>
  <si>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</si>
  <si>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</si>
  <si>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</si>
  <si>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</si>
  <si>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</si>
  <si>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</si>
  <si>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</si>
  <si>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</si>
  <si>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</si>
  <si>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</si>
  <si>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</si>
  <si>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</si>
  <si>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</si>
  <si>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</si>
  <si>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</si>
  <si>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</si>
  <si>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</si>
  <si>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</si>
  <si>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</si>
  <si>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</si>
  <si>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</si>
  <si>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</si>
  <si>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</si>
  <si>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</si>
  <si>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</si>
  <si>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</si>
  <si>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</si>
  <si>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</si>
  <si>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</si>
  <si>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</si>
  <si>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</si>
  <si>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</si>
  <si>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</si>
  <si>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</si>
  <si>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</si>
  <si>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</si>
  <si>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</si>
  <si>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</si>
  <si>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</si>
  <si>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</si>
  <si>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</si>
  <si>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</si>
  <si>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</si>
  <si>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</si>
  <si>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</si>
  <si>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</si>
  <si>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</si>
  <si>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</si>
  <si>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</si>
  <si>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</si>
  <si>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</si>
  <si>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</si>
  <si>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</si>
  <si>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</si>
  <si>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</si>
  <si>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</si>
  <si>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</si>
  <si>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</si>
  <si>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</si>
  <si>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</si>
  <si>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</si>
  <si>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</si>
  <si>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</si>
  <si>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</si>
  <si>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</si>
  <si>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</si>
  <si>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</si>
  <si>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</si>
  <si>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</si>
  <si>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</si>
  <si>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</si>
  <si>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</si>
  <si>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</si>
  <si>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</si>
  <si>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</si>
  <si>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</si>
  <si>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</si>
  <si>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</si>
  <si>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</si>
  <si>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</si>
  <si>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</si>
  <si>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</si>
  <si>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</si>
  <si>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</si>
  <si>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</si>
  <si>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</si>
  <si>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</si>
  <si>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</si>
  <si>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</si>
  <si>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</si>
  <si>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</si>
  <si>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</si>
  <si>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</si>
  <si>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</si>
  <si>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</si>
  <si>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</si>
  <si>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</si>
  <si>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</si>
  <si>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</si>
  <si>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</si>
  <si>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</si>
  <si>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</si>
  <si>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</si>
  <si>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</si>
  <si>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</si>
  <si>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</si>
  <si>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</si>
  <si>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</si>
  <si>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</si>
  <si>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</si>
  <si>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</si>
  <si>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</si>
  <si>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</si>
  <si>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</si>
  <si>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</si>
  <si>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</si>
  <si>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</si>
  <si>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</si>
  <si>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</si>
  <si>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</si>
  <si>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</si>
  <si>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</si>
  <si>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</si>
  <si>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</si>
  <si>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</si>
  <si>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</si>
  <si>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</si>
  <si>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</si>
  <si>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</si>
  <si>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</si>
  <si>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</si>
  <si>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</si>
  <si>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</si>
  <si>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</si>
  <si>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</si>
  <si>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</si>
  <si>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</si>
  <si>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</si>
  <si>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</si>
  <si>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</si>
  <si>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</si>
  <si>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</si>
  <si>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</si>
  <si>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</si>
  <si>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</si>
  <si>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</si>
  <si>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</si>
  <si>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</si>
  <si>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</si>
  <si>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</si>
  <si>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</si>
  <si>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</si>
  <si>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</si>
  <si>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</si>
  <si>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</si>
  <si>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</si>
  <si>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</si>
  <si>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</si>
  <si>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</si>
  <si>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</si>
  <si>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</si>
  <si>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</si>
  <si>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</si>
  <si>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</si>
  <si>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</si>
  <si>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</si>
  <si>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</si>
  <si>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</si>
  <si>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</si>
  <si>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</si>
  <si>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</si>
  <si>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</si>
  <si>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</si>
  <si>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</si>
  <si>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</si>
  <si>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</si>
  <si>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</si>
  <si>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</si>
  <si>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</si>
  <si>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</si>
  <si>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</si>
  <si>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</si>
  <si>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</si>
  <si>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</si>
  <si>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</si>
  <si>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</si>
  <si>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</si>
  <si>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</si>
  <si>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</si>
  <si>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</si>
  <si>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</si>
  <si>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</si>
  <si>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</si>
  <si>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</si>
  <si>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</si>
  <si>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</si>
  <si>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</si>
  <si>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</si>
  <si>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</si>
  <si>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</si>
  <si>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</si>
  <si>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</si>
  <si>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</si>
  <si>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</si>
  <si>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</si>
  <si>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</si>
  <si>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</si>
  <si>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</si>
  <si>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</si>
  <si>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</si>
  <si>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</si>
  <si>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</si>
  <si>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</si>
  <si>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</si>
  <si>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</si>
  <si>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</si>
  <si>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</si>
  <si>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</si>
  <si>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</si>
  <si>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</si>
  <si>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</si>
  <si>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</si>
  <si>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</si>
  <si>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</si>
  <si>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</si>
  <si>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</si>
  <si>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</si>
  <si>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</si>
  <si>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</si>
  <si>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</si>
  <si>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</si>
  <si>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</si>
  <si>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</si>
  <si>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</si>
  <si>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</si>
  <si>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</si>
  <si>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</si>
  <si>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</si>
  <si>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</si>
  <si>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</si>
  <si>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</si>
  <si>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</si>
  <si>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</si>
  <si>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</si>
  <si>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</si>
  <si>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</si>
  <si>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</si>
  <si>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</si>
  <si>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</si>
  <si>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</si>
  <si>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</si>
  <si>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</si>
  <si>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</si>
  <si>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</si>
  <si>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</si>
  <si>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</si>
  <si>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</si>
  <si>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</si>
  <si>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</si>
  <si>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</si>
  <si>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</si>
  <si>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</si>
  <si>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</si>
  <si>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</si>
  <si>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</si>
  <si>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</si>
  <si>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</si>
  <si>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</si>
  <si>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</si>
  <si>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</si>
  <si>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</si>
  <si>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</si>
  <si>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</si>
  <si>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</si>
  <si>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</si>
  <si>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</si>
  <si>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</si>
  <si>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</si>
  <si>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</si>
  <si>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</si>
  <si>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</si>
  <si>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</si>
  <si>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</si>
  <si>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</si>
  <si>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</si>
  <si>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</si>
  <si>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</si>
  <si>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</si>
  <si>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</si>
  <si>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</si>
  <si>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</si>
  <si>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</si>
  <si>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</si>
  <si>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</si>
  <si>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</si>
  <si>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</si>
  <si>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</si>
  <si>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</si>
  <si>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</si>
  <si>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</si>
  <si>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</si>
  <si>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</si>
  <si>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</si>
  <si>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</si>
  <si>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</si>
  <si>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</si>
  <si>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</si>
  <si>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</si>
  <si>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</si>
  <si>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</si>
  <si>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</si>
  <si>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</si>
  <si>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</si>
  <si>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</si>
  <si>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</si>
  <si>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</si>
  <si>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</si>
  <si>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</si>
  <si>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</si>
  <si>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</si>
  <si>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</si>
  <si>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</si>
  <si>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</si>
  <si>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</si>
  <si>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</si>
  <si>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</si>
  <si>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</si>
  <si>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</si>
  <si>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</si>
  <si>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</si>
  <si>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</si>
  <si>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</si>
  <si>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</si>
  <si>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</si>
  <si>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</si>
  <si>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</si>
  <si>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</si>
  <si>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</si>
  <si>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</si>
  <si>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</si>
  <si>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</si>
  <si>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</si>
  <si>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</si>
  <si>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</si>
  <si>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</si>
  <si>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</si>
  <si>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</si>
  <si>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</si>
  <si>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</si>
  <si>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</si>
  <si>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</si>
  <si>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</si>
  <si>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</si>
  <si>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</si>
  <si>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</si>
  <si>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</si>
  <si>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</si>
  <si>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</si>
  <si>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</si>
  <si>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</si>
  <si>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</si>
  <si>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</si>
  <si>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</si>
  <si>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</si>
  <si>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</si>
  <si>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</si>
  <si>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</si>
  <si>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</si>
  <si>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</si>
  <si>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</si>
  <si>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</si>
  <si>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</si>
  <si>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</si>
  <si>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</si>
  <si>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</si>
  <si>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</si>
  <si>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</si>
  <si>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</si>
  <si>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</si>
  <si>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</si>
  <si>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</si>
  <si>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</si>
  <si>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</si>
  <si>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</si>
  <si>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</si>
  <si>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</si>
  <si>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</si>
  <si>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</si>
  <si>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</si>
  <si>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</si>
  <si>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</si>
  <si>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</si>
  <si>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</si>
  <si>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</si>
  <si>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</si>
  <si>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</si>
  <si>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</si>
  <si>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</si>
  <si>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</si>
  <si>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</si>
  <si>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</si>
  <si>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</si>
  <si>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</si>
  <si>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</si>
  <si>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</si>
  <si>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</si>
  <si>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</si>
  <si>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</si>
  <si>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</si>
  <si>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</si>
  <si>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</si>
  <si>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</si>
  <si>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</si>
  <si>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</si>
  <si>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</si>
  <si>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</si>
  <si>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</si>
  <si>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</si>
  <si>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</si>
  <si>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</si>
  <si>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</si>
  <si>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</si>
  <si>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</si>
  <si>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</si>
  <si>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</si>
  <si>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</si>
  <si>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</si>
  <si>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</si>
  <si>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</si>
  <si>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</si>
  <si>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</si>
  <si>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</si>
  <si>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</si>
  <si>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</si>
  <si>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</si>
  <si>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</si>
  <si>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</si>
  <si>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</si>
  <si>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</si>
  <si>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</si>
  <si>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</si>
  <si>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</si>
  <si>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</si>
  <si>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</si>
  <si>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</si>
  <si>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</si>
  <si>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</si>
  <si>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</si>
  <si>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</si>
  <si>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</si>
  <si>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</si>
  <si>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</si>
  <si>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</si>
  <si>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</si>
  <si>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</si>
  <si>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</si>
  <si>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</si>
  <si>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</si>
  <si>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</si>
  <si>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</si>
  <si>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</si>
  <si>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</si>
  <si>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</si>
  <si>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</si>
  <si>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</si>
  <si>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</si>
  <si>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</si>
  <si>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</si>
  <si>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</si>
  <si>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</si>
  <si>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</si>
  <si>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</si>
  <si>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</si>
  <si>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</si>
  <si>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</si>
  <si>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</si>
  <si>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</si>
  <si>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</si>
  <si>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</si>
  <si>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</si>
  <si>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</si>
  <si>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</si>
  <si>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</si>
  <si>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</si>
  <si>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</si>
  <si>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</si>
  <si>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</si>
  <si>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</si>
  <si>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</si>
  <si>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</si>
  <si>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</si>
  <si>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</si>
  <si>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</si>
  <si>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</si>
  <si>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</si>
  <si>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</si>
  <si>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</si>
  <si>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</si>
  <si>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</si>
  <si>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</si>
  <si>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</si>
  <si>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</si>
  <si>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</si>
  <si>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</si>
  <si>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</si>
  <si>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</si>
  <si>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</si>
  <si>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</si>
  <si>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</si>
  <si>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</si>
  <si>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</si>
  <si>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</si>
  <si>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</si>
  <si>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</si>
  <si>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</si>
  <si>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</si>
  <si>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</si>
  <si>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</si>
  <si>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</si>
  <si>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</si>
  <si>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</si>
  <si>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</si>
  <si>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</si>
  <si>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</si>
  <si>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</si>
  <si>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</si>
  <si>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</si>
  <si>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</si>
  <si>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</si>
  <si>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</si>
  <si>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</si>
  <si>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</si>
  <si>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</si>
  <si>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</si>
  <si>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</si>
  <si>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</si>
  <si>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</si>
  <si>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</si>
  <si>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</si>
  <si>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</si>
  <si>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</si>
  <si>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</si>
  <si>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</si>
  <si>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</si>
  <si>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</si>
  <si>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</si>
  <si>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</si>
  <si>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</si>
  <si>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</si>
  <si>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</si>
  <si>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</si>
  <si>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</si>
  <si>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</si>
  <si>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</si>
  <si>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</si>
  <si>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</si>
  <si>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</si>
  <si>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</si>
  <si>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</si>
  <si>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</si>
  <si>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</si>
  <si>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</si>
  <si>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</si>
  <si>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</si>
  <si>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</si>
  <si>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</si>
  <si>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</si>
  <si>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</si>
  <si>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</si>
  <si>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</si>
  <si>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</si>
  <si>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</si>
  <si>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</si>
  <si>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</si>
  <si>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</si>
  <si>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</si>
  <si>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</si>
  <si>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</si>
  <si>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</si>
  <si>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</si>
  <si>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</si>
  <si>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</si>
  <si>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</si>
  <si>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</si>
  <si>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</si>
  <si>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</si>
  <si>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</si>
  <si>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</si>
  <si>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</si>
  <si>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</si>
  <si>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</si>
  <si>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</si>
  <si>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</si>
  <si>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</si>
  <si>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</si>
  <si>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</si>
  <si>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</si>
  <si>
    <t>Cuchilla Monopolar 1P, 34.5 KV, 600 A.</t>
  </si>
  <si>
    <t>477 MCM</t>
  </si>
  <si>
    <t>CC13 / YHN-525</t>
  </si>
  <si>
    <t>CONECTOR DE COMPRESIÓN YHN-525 (4/0-477)</t>
  </si>
  <si>
    <t>Varilla de Armar Preformado para Cable ASCR # 3/0 AWG</t>
  </si>
  <si>
    <t>PR4</t>
  </si>
  <si>
    <t>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</si>
</sst>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theme" Target="theme/theme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sharedStrings" Target="sharedStrings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6" totalsRowShown="0" headerRowDxfId="29" dataDxfId="27" headerRowBorderDxfId="28" tableBorderDxfId="26" totalsRowBorderDxfId="25">
  <autoFilter ref="A1:F266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239" zoomScale="85" zoomScaleNormal="100" zoomScaleSheetLayoutView="122" workbookViewId="0">
      <selection activeCell="E199" sqref="E199"/>
    </sheetView>
  </sheetViews>
  <sheetFormatPr baseColWidth="10" defaultRowHeight="14.4" x14ac:dyDescent="0.3"/>
  <cols>
    <col min="1" max="1" width="6.5546875" customWidth="1"/>
    <col min="2" max="2" width="21.33203125" customWidth="1"/>
    <col min="3" max="3" width="36.6640625" customWidth="1"/>
    <col min="4" max="4" width="19.6640625" customWidth="1"/>
    <col min="5" max="5" width="85" customWidth="1"/>
    <col min="6" max="6" width="11.5546875" style="46"/>
  </cols>
  <sheetData>
    <row r="1" spans="1:6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968.03</v>
      </c>
    </row>
    <row r="3" spans="1:6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3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3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3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3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3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3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3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3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3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3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3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3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3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3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3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3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3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3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3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3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3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3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3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3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3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3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3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3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3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3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3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3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3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3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3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3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3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3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3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3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3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3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3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3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3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3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3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3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3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3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3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3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3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3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3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3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3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3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3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3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3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3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3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3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3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3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3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3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3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3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3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3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3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3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3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3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3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3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3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3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3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3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3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3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3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3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3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3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3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3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3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3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3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3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3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3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3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3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3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3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3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3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3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3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3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3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3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3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3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3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3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3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3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3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3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3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3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3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3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3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3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3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3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3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3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3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3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3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3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3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3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3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3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3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3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3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3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3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3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3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3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3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3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3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3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3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3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3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3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3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3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3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3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3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3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3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3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3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3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3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3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3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3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3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3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3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3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3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3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3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3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3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3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3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3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3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3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3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3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3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3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3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3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3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3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3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3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3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3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3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3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3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3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3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3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3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3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3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3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3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3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3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3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3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3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3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3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3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3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3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3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3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3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3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3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3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3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3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3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3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3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3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3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3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3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3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3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3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3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3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3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3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3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3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3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3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3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3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3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3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3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3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3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3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3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3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3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3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3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3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3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3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3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3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3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3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3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3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3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3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3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3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3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3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3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3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6"/>
  <sheetViews>
    <sheetView tabSelected="1" topLeftCell="A252" zoomScale="110" zoomScaleNormal="110" workbookViewId="0">
      <selection activeCell="F271" sqref="F271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3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3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3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3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20.22</v>
      </c>
      <c r="G5"/>
    </row>
    <row r="6" spans="1:7" x14ac:dyDescent="0.3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3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354.73</v>
      </c>
      <c r="G7"/>
    </row>
    <row r="8" spans="1:7" x14ac:dyDescent="0.3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3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3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3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3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3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3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3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3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3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3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3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3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3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2.68</v>
      </c>
      <c r="G21"/>
    </row>
    <row r="22" spans="1:7" x14ac:dyDescent="0.3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5.94</v>
      </c>
      <c r="G22"/>
    </row>
    <row r="23" spans="1:7" x14ac:dyDescent="0.3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3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3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247.85</v>
      </c>
      <c r="G25"/>
    </row>
    <row r="26" spans="1:7" x14ac:dyDescent="0.3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3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3">
      <c r="A28" s="13">
        <v>27</v>
      </c>
      <c r="B28" s="36" t="s">
        <v>939</v>
      </c>
      <c r="C28" t="s">
        <v>943</v>
      </c>
      <c r="D28" s="22" t="s">
        <v>3</v>
      </c>
      <c r="E28" s="26" t="s">
        <v>1526</v>
      </c>
      <c r="F28" s="40">
        <v>5</v>
      </c>
      <c r="G28"/>
    </row>
    <row r="29" spans="1:7" x14ac:dyDescent="0.3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3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3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3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3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3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3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3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3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3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3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3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3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3.12</v>
      </c>
      <c r="G41"/>
    </row>
    <row r="42" spans="1:7" x14ac:dyDescent="0.3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3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3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3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3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3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3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3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3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3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15.87</v>
      </c>
      <c r="G51"/>
    </row>
    <row r="52" spans="1:7" x14ac:dyDescent="0.3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3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3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41.72</v>
      </c>
      <c r="G54"/>
    </row>
    <row r="55" spans="1:7" x14ac:dyDescent="0.3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3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3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3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3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3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3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3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34.5</v>
      </c>
      <c r="G62"/>
    </row>
    <row r="63" spans="1:7" x14ac:dyDescent="0.3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3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3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3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3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3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3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3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3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3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3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3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17.09</v>
      </c>
      <c r="G74"/>
    </row>
    <row r="75" spans="1:7" x14ac:dyDescent="0.3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3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3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110.16</v>
      </c>
      <c r="G77"/>
    </row>
    <row r="78" spans="1:7" x14ac:dyDescent="0.3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3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3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3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3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3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3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3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250</v>
      </c>
      <c r="G85"/>
    </row>
    <row r="86" spans="1:7" x14ac:dyDescent="0.3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300</v>
      </c>
      <c r="G86"/>
    </row>
    <row r="87" spans="1:7" x14ac:dyDescent="0.3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3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3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3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3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3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3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3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241.8</v>
      </c>
      <c r="G94"/>
    </row>
    <row r="95" spans="1:7" x14ac:dyDescent="0.3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3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350</v>
      </c>
      <c r="G96"/>
    </row>
    <row r="97" spans="1:7" x14ac:dyDescent="0.3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3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21.83</v>
      </c>
      <c r="G98"/>
    </row>
    <row r="99" spans="1:7" x14ac:dyDescent="0.3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3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3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3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3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3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3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3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3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472</v>
      </c>
      <c r="G107"/>
    </row>
    <row r="108" spans="1:7" x14ac:dyDescent="0.3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3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3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1480</v>
      </c>
      <c r="G110"/>
    </row>
    <row r="111" spans="1:7" x14ac:dyDescent="0.3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3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3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3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3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3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3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2208.06</v>
      </c>
      <c r="G117"/>
    </row>
    <row r="118" spans="1:7" x14ac:dyDescent="0.3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3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3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3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169.79</v>
      </c>
      <c r="G121"/>
    </row>
    <row r="122" spans="1:7" x14ac:dyDescent="0.3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3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3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3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238.53</v>
      </c>
      <c r="G125"/>
    </row>
    <row r="126" spans="1:7" x14ac:dyDescent="0.3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3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3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3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27.16</v>
      </c>
      <c r="G129"/>
    </row>
    <row r="130" spans="1:7" x14ac:dyDescent="0.3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27.16</v>
      </c>
      <c r="G130"/>
    </row>
    <row r="131" spans="1:7" x14ac:dyDescent="0.3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27.16</v>
      </c>
      <c r="G131"/>
    </row>
    <row r="132" spans="1:7" x14ac:dyDescent="0.3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167.2</v>
      </c>
      <c r="G132"/>
    </row>
    <row r="133" spans="1:7" x14ac:dyDescent="0.3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119.68</v>
      </c>
      <c r="G133"/>
    </row>
    <row r="134" spans="1:7" x14ac:dyDescent="0.3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3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3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3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3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125</v>
      </c>
      <c r="G138"/>
    </row>
    <row r="139" spans="1:7" x14ac:dyDescent="0.3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3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350</v>
      </c>
      <c r="G140"/>
    </row>
    <row r="141" spans="1:7" x14ac:dyDescent="0.3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3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3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3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3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x14ac:dyDescent="0.3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x14ac:dyDescent="0.3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3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3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3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3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3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3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3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3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3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3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3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1232.26</v>
      </c>
      <c r="G158"/>
    </row>
    <row r="159" spans="1:7" x14ac:dyDescent="0.3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50</v>
      </c>
      <c r="G159"/>
    </row>
    <row r="160" spans="1:7" x14ac:dyDescent="0.3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16.260000000000002</v>
      </c>
      <c r="G160"/>
    </row>
    <row r="161" spans="1:7" x14ac:dyDescent="0.3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3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29.01</v>
      </c>
      <c r="G162"/>
    </row>
    <row r="163" spans="1:7" x14ac:dyDescent="0.3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31.34</v>
      </c>
      <c r="G163"/>
    </row>
    <row r="164" spans="1:7" x14ac:dyDescent="0.3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3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3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3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3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3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3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3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3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3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61.6</v>
      </c>
      <c r="G173"/>
    </row>
    <row r="174" spans="1:7" x14ac:dyDescent="0.3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3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3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3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3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3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3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3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3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3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3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3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3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3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3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3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3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3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3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3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3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3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3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3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13282.5</v>
      </c>
      <c r="G197"/>
    </row>
    <row r="198" spans="1:7" x14ac:dyDescent="0.3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3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3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3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3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3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3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3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3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3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3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3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3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3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3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296.98</v>
      </c>
      <c r="G215"/>
    </row>
    <row r="216" spans="1:7" x14ac:dyDescent="0.3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3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3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3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3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3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3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3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3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3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3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3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3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3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3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3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3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3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3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3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3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52950</v>
      </c>
      <c r="G236"/>
    </row>
    <row r="237" spans="1:7" x14ac:dyDescent="0.3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3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3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3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3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3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3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3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3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3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3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3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3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3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x14ac:dyDescent="0.3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x14ac:dyDescent="0.3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x14ac:dyDescent="0.3">
      <c r="A253" s="13">
        <v>244</v>
      </c>
      <c r="B253" s="10" t="s">
        <v>802</v>
      </c>
      <c r="C253" t="s">
        <v>1524</v>
      </c>
      <c r="D253" s="22" t="s">
        <v>3</v>
      </c>
      <c r="E253" s="25" t="s">
        <v>803</v>
      </c>
      <c r="F253" s="40">
        <v>256.11</v>
      </c>
      <c r="G253"/>
    </row>
    <row r="254" spans="1:7" x14ac:dyDescent="0.3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x14ac:dyDescent="0.3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3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3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3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3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130.37</v>
      </c>
    </row>
    <row r="260" spans="1:6" x14ac:dyDescent="0.3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3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3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3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3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3">
      <c r="A265" s="41"/>
      <c r="C265" s="9" t="s">
        <v>1519</v>
      </c>
      <c r="D265" s="22" t="s">
        <v>3</v>
      </c>
      <c r="F265" s="40">
        <v>750000</v>
      </c>
    </row>
    <row r="266" spans="1:6" x14ac:dyDescent="0.3">
      <c r="A266" s="41"/>
      <c r="C266" s="9" t="s">
        <v>1520</v>
      </c>
      <c r="D266" s="22" t="s">
        <v>3</v>
      </c>
      <c r="F266" s="40">
        <v>8000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3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3"/>
  <sheetViews>
    <sheetView workbookViewId="0">
      <selection activeCell="D14" sqref="A1:D14"/>
    </sheetView>
  </sheetViews>
  <sheetFormatPr baseColWidth="10" defaultRowHeight="14.4" x14ac:dyDescent="0.3"/>
  <cols>
    <col min="1" max="1" width="21.88671875" style="14" customWidth="1"/>
    <col min="2" max="2" width="21.33203125" style="14" customWidth="1"/>
    <col min="3" max="3" width="72.5546875" customWidth="1"/>
    <col min="4" max="4" width="33.33203125" customWidth="1"/>
  </cols>
  <sheetData>
    <row r="1" spans="1:4" x14ac:dyDescent="0.3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3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3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3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3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3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3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3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3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3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3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3">
      <c r="A12" s="16" t="s">
        <v>832</v>
      </c>
      <c r="B12" s="16" t="s">
        <v>827</v>
      </c>
      <c r="C12" s="16" t="s">
        <v>845</v>
      </c>
      <c r="D12" s="16" t="s">
        <v>826</v>
      </c>
    </row>
    <row r="13" spans="1:4" x14ac:dyDescent="0.3">
      <c r="A13" s="14" t="s">
        <v>1521</v>
      </c>
      <c r="B13" s="14" t="s">
        <v>1522</v>
      </c>
      <c r="C13" t="s">
        <v>1523</v>
      </c>
      <c r="D13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F60B-EEDF-4642-8636-D35332641BE2}">
  <dimension ref="A1:F9"/>
  <sheetViews>
    <sheetView workbookViewId="0">
      <selection activeCell="B36" sqref="B36"/>
    </sheetView>
  </sheetViews>
  <sheetFormatPr baseColWidth="10" defaultRowHeight="14.4" x14ac:dyDescent="0.3"/>
  <cols>
    <col min="1" max="1" width="11.44140625" style="14"/>
    <col min="2" max="2" width="78.6640625" style="30" customWidth="1"/>
    <col min="3" max="5" width="11.44140625" style="14"/>
  </cols>
  <sheetData>
    <row r="1" spans="1:6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6" x14ac:dyDescent="0.3">
      <c r="A2" s="14" t="s">
        <v>400</v>
      </c>
      <c r="B2" s="30" t="str">
        <f t="shared" ref="B2:B9" si="0">VLOOKUP(A2,tmat,2,FALSE)</f>
        <v>Crucete de Madera Curada de 4" x 5" x 96"</v>
      </c>
      <c r="C2" s="14" t="s">
        <v>3</v>
      </c>
      <c r="D2" s="14">
        <v>2</v>
      </c>
      <c r="E2" s="14">
        <v>2</v>
      </c>
      <c r="F2" s="30"/>
    </row>
    <row r="3" spans="1:6" x14ac:dyDescent="0.3">
      <c r="A3" s="14" t="s">
        <v>404</v>
      </c>
      <c r="B3" s="30" t="str">
        <f t="shared" si="0"/>
        <v>Cuchilla Portafusible de Porcelana 100 AMP., 34.5 KV., Apertura Bajo Carga</v>
      </c>
      <c r="C3" s="14" t="s">
        <v>3</v>
      </c>
      <c r="D3" s="14">
        <v>3</v>
      </c>
      <c r="E3" s="14">
        <v>3</v>
      </c>
    </row>
    <row r="4" spans="1:6" x14ac:dyDescent="0.3">
      <c r="A4" s="14" t="s">
        <v>1525</v>
      </c>
      <c r="B4" s="30" t="str">
        <f t="shared" si="0"/>
        <v>Pararayo de Polimero para 27 KV IEEE C62.11</v>
      </c>
      <c r="C4" s="14" t="s">
        <v>3</v>
      </c>
      <c r="D4" s="14">
        <v>3</v>
      </c>
      <c r="E4" s="14">
        <v>3</v>
      </c>
    </row>
    <row r="5" spans="1:6" x14ac:dyDescent="0.3">
      <c r="A5" s="14" t="s">
        <v>346</v>
      </c>
      <c r="B5" s="30" t="str">
        <f t="shared" si="0"/>
        <v>Tirante de Pletina de 1/4" x 1-1/4" x 30"</v>
      </c>
      <c r="C5" s="14" t="s">
        <v>3</v>
      </c>
      <c r="D5" s="14">
        <v>4</v>
      </c>
      <c r="E5" s="14">
        <v>4</v>
      </c>
    </row>
    <row r="6" spans="1:6" x14ac:dyDescent="0.3">
      <c r="A6" s="14" t="s">
        <v>1172</v>
      </c>
      <c r="B6" s="30" t="str">
        <f t="shared" si="0"/>
        <v>Perno de Máquina de 1/2" x 10"</v>
      </c>
      <c r="C6" s="14" t="s">
        <v>3</v>
      </c>
      <c r="D6" s="14">
        <v>2</v>
      </c>
      <c r="E6" s="14">
        <v>2</v>
      </c>
    </row>
    <row r="7" spans="1:6" x14ac:dyDescent="0.3">
      <c r="A7" s="14" t="s">
        <v>345</v>
      </c>
      <c r="B7" s="30" t="str">
        <f t="shared" si="0"/>
        <v>Perno de Carroceria 3/8" x 5"</v>
      </c>
      <c r="C7" s="14" t="s">
        <v>3</v>
      </c>
      <c r="D7" s="14">
        <v>4</v>
      </c>
      <c r="E7" s="14">
        <v>4</v>
      </c>
    </row>
    <row r="8" spans="1:6" x14ac:dyDescent="0.3">
      <c r="A8" s="14" t="s">
        <v>347</v>
      </c>
      <c r="B8" s="30" t="str">
        <f t="shared" si="0"/>
        <v>Perno de Máquina de 5/8" x 14"</v>
      </c>
      <c r="C8" s="14" t="s">
        <v>3</v>
      </c>
      <c r="D8" s="14">
        <v>2</v>
      </c>
      <c r="E8" s="14">
        <v>2</v>
      </c>
    </row>
    <row r="9" spans="1:6" x14ac:dyDescent="0.3">
      <c r="A9" s="14" t="s">
        <v>6</v>
      </c>
      <c r="B9" s="30" t="str">
        <f t="shared" si="0"/>
        <v>Arandela Cuadrada 3/16" x 2-1/4" x 2-1/4", Ø=11/16"</v>
      </c>
      <c r="C9" s="14" t="s">
        <v>3</v>
      </c>
      <c r="D9" s="14">
        <v>2</v>
      </c>
      <c r="E9" s="14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D5CA8D-1761-4B52-BF14-395D383AD774}">
          <x14:formula1>
            <xm:f>Materiales!$B$2:$B$259</xm:f>
          </x14:formula1>
          <xm:sqref>A2:A6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6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3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3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4.4" x14ac:dyDescent="0.3"/>
  <cols>
    <col min="1" max="1" width="11.44140625" style="14"/>
    <col min="2" max="2" width="57.5546875" style="30" customWidth="1"/>
    <col min="3" max="5" width="11.4414062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4.4" x14ac:dyDescent="0.3"/>
  <cols>
    <col min="2" max="2" width="57.5546875" customWidth="1"/>
  </cols>
  <sheetData>
    <row r="1" spans="1:6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3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354.73</v>
      </c>
    </row>
    <row r="4" spans="1:6" x14ac:dyDescent="0.3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2.68</v>
      </c>
    </row>
    <row r="5" spans="1:6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5.94</v>
      </c>
    </row>
    <row r="6" spans="1:6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29.01</v>
      </c>
    </row>
    <row r="9" spans="1:6" x14ac:dyDescent="0.3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3">
      <c r="F10">
        <f>SUM(F2:F9)</f>
        <v>968.03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3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3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3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C21" sqref="C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3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3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3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3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3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3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3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3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3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3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3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3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3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E17" sqref="E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1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400</v>
      </c>
      <c r="B5" t="str">
        <f t="shared" si="0"/>
        <v>Crucete de Madera Curada de 4" x 5" x 96"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1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s="14" t="s">
        <v>3</v>
      </c>
      <c r="D9" s="14">
        <v>1</v>
      </c>
      <c r="E9" s="14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1172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Perno de Máquina de 5/8" x 10"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Tirante de Pletina de 1/4" x 1-1/4" x 30"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Varilla de Armar Preformado para Cable ASCR # 1/0 AWG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5" sqref="D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3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336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3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3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3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3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3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3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3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3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3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3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E10" sqref="A1:E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3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3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3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3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3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3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3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3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3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E20" sqref="A1:E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si="0"/>
        <v>Perno de Rosca Corrida 5/8" x 20"</v>
      </c>
      <c r="C8" t="s">
        <v>3</v>
      </c>
      <c r="D8">
        <v>4</v>
      </c>
      <c r="E8">
        <v>4</v>
      </c>
    </row>
    <row r="9" spans="1:5" x14ac:dyDescent="0.3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3">
      <c r="A11" t="s">
        <v>336</v>
      </c>
      <c r="B11" t="str">
        <f t="shared" si="0"/>
        <v>Espiga para Cruceta de Madera, L=6" Rosca 1", Φ = 3/4"</v>
      </c>
      <c r="C11" t="s">
        <v>3</v>
      </c>
      <c r="D11">
        <v>0</v>
      </c>
      <c r="E11">
        <v>2</v>
      </c>
    </row>
    <row r="12" spans="1:5" x14ac:dyDescent="0.3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2</v>
      </c>
      <c r="E12">
        <v>0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3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0</v>
      </c>
      <c r="E18">
        <v>1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1</v>
      </c>
      <c r="E1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L31" sqref="L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3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3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B26" sqref="B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3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3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3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3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3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3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3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3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3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3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3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3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3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3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3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3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3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3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3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3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3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3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3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3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3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3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3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3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3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3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3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3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3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3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3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3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3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3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3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3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3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3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3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3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3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3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3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3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3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3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3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3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3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3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3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3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664062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3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3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3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3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3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3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3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3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3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3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3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3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3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3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3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3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3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3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3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3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3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3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209</vt:i4>
      </vt:variant>
      <vt:variant>
        <vt:lpstr>Rangos con nombre</vt:lpstr>
      </vt:variant>
      <vt:variant>
        <vt:i4>228</vt:i4>
      </vt:variant>
    </vt:vector>
  </HeadingPairs>
  <TitlesOfParts>
    <vt:vector size="437" baseType="lpstr">
      <vt:lpstr>indice</vt:lpstr>
      <vt:lpstr>Materiales</vt:lpstr>
      <vt:lpstr>Internos</vt:lpstr>
      <vt:lpstr>conectores</vt:lpstr>
      <vt:lpstr>AC-SUB3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'AC-SUB3'!cod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'AC-SUB3'!tmat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2026-10-21T04:49:00Z</dcterms:modified>
</cp:coreProperties>
</file>