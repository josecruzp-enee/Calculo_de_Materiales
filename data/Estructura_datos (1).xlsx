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é Nikol Cruz\Downloads\"/>
    </mc:Choice>
  </mc:AlternateContent>
  <xr:revisionPtr revIDLastSave="0" documentId="13_ncr:1_{18BF4B66-56A7-4312-BD2F-AF9B35C33DF1}" xr6:coauthVersionLast="47" xr6:coauthVersionMax="47" xr10:uidLastSave="{00000000-0000-0000-0000-000000000000}"/>
  <bookViews>
    <workbookView xWindow="-120" yWindow="-120" windowWidth="29040" windowHeight="15840" tabRatio="904" activeTab="1" xr2:uid="{00000000-000D-0000-FFFF-FFFF00000000}"/>
  </bookViews>
  <sheets>
    <sheet name="indice" sheetId="1" r:id="rId1"/>
    <sheet name="Materiales" sheetId="15" r:id="rId2"/>
    <sheet name="Internos" sheetId="195" r:id="rId3"/>
    <sheet name="conectores" sheetId="28" r:id="rId4"/>
    <sheet name="PM-30" sheetId="99" r:id="rId5"/>
    <sheet name="PM-35" sheetId="100" r:id="rId6"/>
    <sheet name="PM-40" sheetId="101" r:id="rId7"/>
    <sheet name="PM-45" sheetId="102" r:id="rId8"/>
    <sheet name="PC-30" sheetId="5" r:id="rId9"/>
    <sheet name="PC-40" sheetId="2" r:id="rId10"/>
    <sheet name="PC-45" sheetId="18" r:id="rId11"/>
    <sheet name="PC-50" sheetId="203" r:id="rId12"/>
    <sheet name="PCA-30" sheetId="89" r:id="rId13"/>
    <sheet name="PCA-35" sheetId="88" r:id="rId14"/>
    <sheet name="PCA-40" sheetId="87" r:id="rId15"/>
    <sheet name="PCA-45" sheetId="19" r:id="rId16"/>
    <sheet name="PCA-50" sheetId="202" r:id="rId17"/>
    <sheet name="PT-30" sheetId="190" r:id="rId18"/>
    <sheet name="PT-35" sheetId="191" r:id="rId19"/>
    <sheet name="PT-40" sheetId="192" r:id="rId20"/>
    <sheet name="PT-45" sheetId="193" r:id="rId21"/>
    <sheet name="PCA-40-2000Lb" sheetId="198" r:id="rId22"/>
    <sheet name="PCA-40-3000Lb" sheetId="199" r:id="rId23"/>
    <sheet name="PCA-45-2000Lb" sheetId="201" r:id="rId24"/>
    <sheet name="PCA-45-3000Lb" sheetId="200" r:id="rId25"/>
    <sheet name="PCA-50-2000Lb" sheetId="196" r:id="rId26"/>
    <sheet name="PC-50-3000Lb" sheetId="197" r:id="rId27"/>
    <sheet name="A-I-1" sheetId="3" r:id="rId28"/>
    <sheet name="A-I-1V" sheetId="84" r:id="rId29"/>
    <sheet name="A-I-2" sheetId="4" r:id="rId30"/>
    <sheet name="A-I-4" sheetId="8" r:id="rId31"/>
    <sheet name="A-I-4A" sheetId="9" r:id="rId32"/>
    <sheet name="A-I-4B" sheetId="10" r:id="rId33"/>
    <sheet name="A-I-4C" sheetId="11" r:id="rId34"/>
    <sheet name="A-I-4V" sheetId="12" r:id="rId35"/>
    <sheet name="A-I-5" sheetId="13" r:id="rId36"/>
    <sheet name="A-I-5V" sheetId="93" r:id="rId37"/>
    <sheet name="A-I-6" sheetId="29" r:id="rId38"/>
    <sheet name="A-I-7" sheetId="30" r:id="rId39"/>
    <sheet name="A-I-7V" sheetId="31" r:id="rId40"/>
    <sheet name="A-I-8" sheetId="32" r:id="rId41"/>
    <sheet name="A-I-8V" sheetId="33" r:id="rId42"/>
    <sheet name="A-I-9" sheetId="34" r:id="rId43"/>
    <sheet name="A-I-9V" sheetId="35" r:id="rId44"/>
    <sheet name="A-II-1" sheetId="36" r:id="rId45"/>
    <sheet name="A-II-1V" sheetId="37" r:id="rId46"/>
    <sheet name="A-II-2" sheetId="38" r:id="rId47"/>
    <sheet name="A-II-2V" sheetId="39" r:id="rId48"/>
    <sheet name="A-II-3" sheetId="40" r:id="rId49"/>
    <sheet name="A-II-4" sheetId="41" r:id="rId50"/>
    <sheet name="A-II-4A" sheetId="42" r:id="rId51"/>
    <sheet name="A-II-4D" sheetId="43" r:id="rId52"/>
    <sheet name="A-II-4E" sheetId="44" r:id="rId53"/>
    <sheet name="A-II-4V" sheetId="45" r:id="rId54"/>
    <sheet name="A-II-5" sheetId="46" r:id="rId55"/>
    <sheet name="A-II-5V" sheetId="47" r:id="rId56"/>
    <sheet name="A-II-6" sheetId="48" r:id="rId57"/>
    <sheet name="A-II-6A" sheetId="49" r:id="rId58"/>
    <sheet name="A-II-6R" sheetId="50" r:id="rId59"/>
    <sheet name="A-II-7" sheetId="51" r:id="rId60"/>
    <sheet name="A-II-7A" sheetId="52" r:id="rId61"/>
    <sheet name="A-II-7V" sheetId="53" r:id="rId62"/>
    <sheet name="A-II-7VA" sheetId="54" r:id="rId63"/>
    <sheet name="A-II-8" sheetId="55" r:id="rId64"/>
    <sheet name="A-II-8A" sheetId="56" r:id="rId65"/>
    <sheet name="A-II-8V" sheetId="57" r:id="rId66"/>
    <sheet name="A-II-8VA" sheetId="58" r:id="rId67"/>
    <sheet name="A-II-9" sheetId="59" r:id="rId68"/>
    <sheet name="A-II-9A" sheetId="60" r:id="rId69"/>
    <sheet name="A-II-9V" sheetId="61" r:id="rId70"/>
    <sheet name="A-II-9VA" sheetId="62" r:id="rId71"/>
    <sheet name="A-III-1" sheetId="16" r:id="rId72"/>
    <sheet name="A-III-1N" sheetId="65" r:id="rId73"/>
    <sheet name="A-III-1V" sheetId="66" r:id="rId74"/>
    <sheet name="A-III-2" sheetId="63" r:id="rId75"/>
    <sheet name="A-III-2N" sheetId="67" r:id="rId76"/>
    <sheet name="A-III-2V" sheetId="68" r:id="rId77"/>
    <sheet name="A-III-3" sheetId="64" r:id="rId78"/>
    <sheet name="A-III-4" sheetId="73" r:id="rId79"/>
    <sheet name="A-III-4A" sheetId="69" r:id="rId80"/>
    <sheet name="A-III-4D" sheetId="70" r:id="rId81"/>
    <sheet name="A-III-4E" sheetId="71" r:id="rId82"/>
    <sheet name="A-III-4N" sheetId="72" r:id="rId83"/>
    <sheet name="A-III-4V" sheetId="74" r:id="rId84"/>
    <sheet name="A-III-5" sheetId="77" r:id="rId85"/>
    <sheet name="A-III-5N" sheetId="17" r:id="rId86"/>
    <sheet name="A-III-5R" sheetId="75" r:id="rId87"/>
    <sheet name="A-III-5V" sheetId="76" r:id="rId88"/>
    <sheet name="A-III-6" sheetId="204" r:id="rId89"/>
    <sheet name="A-III-6A" sheetId="78" r:id="rId90"/>
    <sheet name="A-III-6N" sheetId="79" r:id="rId91"/>
    <sheet name="A-III-7" sheetId="153" r:id="rId92"/>
    <sheet name="A-III-7A" sheetId="154" r:id="rId93"/>
    <sheet name="A-III-7B" sheetId="155" r:id="rId94"/>
    <sheet name="A-III-7V" sheetId="156" r:id="rId95"/>
    <sheet name="A-III-7VA" sheetId="157" r:id="rId96"/>
    <sheet name="A-III-7VB" sheetId="158" r:id="rId97"/>
    <sheet name="A-III-8" sheetId="159" r:id="rId98"/>
    <sheet name="A-III-9" sheetId="160" r:id="rId99"/>
    <sheet name="ER-III-1" sheetId="177" r:id="rId100"/>
    <sheet name="ER-III-2" sheetId="178" r:id="rId101"/>
    <sheet name="ER-III-4" sheetId="179" r:id="rId102"/>
    <sheet name="ER-III-5" sheetId="180" r:id="rId103"/>
    <sheet name="ER-III-6" sheetId="181" r:id="rId104"/>
    <sheet name="ER-III-7" sheetId="182" r:id="rId105"/>
    <sheet name="ER-III-7A" sheetId="183" r:id="rId106"/>
    <sheet name="ER-III-7B" sheetId="184" r:id="rId107"/>
    <sheet name="ER-III-8" sheetId="185" r:id="rId108"/>
    <sheet name="ER-III-8A" sheetId="186" r:id="rId109"/>
    <sheet name="ER-III-8B" sheetId="187" r:id="rId110"/>
    <sheet name="ER-III-9" sheetId="188" r:id="rId111"/>
    <sheet name="DTN-III-1" sheetId="206" r:id="rId112"/>
    <sheet name="DTN-III-2" sheetId="207" r:id="rId113"/>
    <sheet name="DTN-III-5" sheetId="208" r:id="rId114"/>
    <sheet name="DTN-III-6" sheetId="209" r:id="rId115"/>
    <sheet name="B-I-1" sheetId="20" r:id="rId116"/>
    <sheet name="B-I-3" sheetId="103" r:id="rId117"/>
    <sheet name="B-I-4" sheetId="104" r:id="rId118"/>
    <sheet name="B-I-4B" sheetId="81" r:id="rId119"/>
    <sheet name="B-I-4F" sheetId="105" r:id="rId120"/>
    <sheet name="B-I-5" sheetId="21" r:id="rId121"/>
    <sheet name="B-I-6" sheetId="205" r:id="rId122"/>
    <sheet name="B-I-7" sheetId="82" r:id="rId123"/>
    <sheet name="B-I-7A" sheetId="114" r:id="rId124"/>
    <sheet name="B-I-7B" sheetId="113" r:id="rId125"/>
    <sheet name="B-I-7C" sheetId="115" r:id="rId126"/>
    <sheet name="B-I-8" sheetId="116" r:id="rId127"/>
    <sheet name="B-II-1" sheetId="6" r:id="rId128"/>
    <sheet name="B-II-2" sheetId="7" r:id="rId129"/>
    <sheet name="B-II-4" sheetId="97" r:id="rId130"/>
    <sheet name="B-II-4A" sheetId="126" r:id="rId131"/>
    <sheet name="B-II-4B" sheetId="127" r:id="rId132"/>
    <sheet name="B-II-4C" sheetId="22" r:id="rId133"/>
    <sheet name="B-II-4D" sheetId="128" r:id="rId134"/>
    <sheet name="B-II-4E" sheetId="129" r:id="rId135"/>
    <sheet name="B-II-4F" sheetId="130" r:id="rId136"/>
    <sheet name="B-II-5" sheetId="131" r:id="rId137"/>
    <sheet name="B-II-6" sheetId="132" r:id="rId138"/>
    <sheet name="B-II-6A" sheetId="133" r:id="rId139"/>
    <sheet name="B-II-6B" sheetId="134" r:id="rId140"/>
    <sheet name="B-II-7" sheetId="135" r:id="rId141"/>
    <sheet name="B-II-7A" sheetId="136" r:id="rId142"/>
    <sheet name="B-II-8" sheetId="137" r:id="rId143"/>
    <sheet name="B-II-9" sheetId="138" r:id="rId144"/>
    <sheet name="B-III-1" sheetId="85" r:id="rId145"/>
    <sheet name="B-III-2" sheetId="162" r:id="rId146"/>
    <sheet name="B-III-4" sheetId="94" r:id="rId147"/>
    <sheet name="B-III-4A" sheetId="163" r:id="rId148"/>
    <sheet name="B-III-4B" sheetId="165" r:id="rId149"/>
    <sheet name="B-III-4C" sheetId="86" r:id="rId150"/>
    <sheet name="B-III-4D" sheetId="166" r:id="rId151"/>
    <sheet name="B-III-4E" sheetId="167" r:id="rId152"/>
    <sheet name="B-III-4F" sheetId="168" r:id="rId153"/>
    <sheet name="B-III-5" sheetId="95" r:id="rId154"/>
    <sheet name="B-III-6" sheetId="96" r:id="rId155"/>
    <sheet name="B-III-6A" sheetId="161" r:id="rId156"/>
    <sheet name="B-III-6B" sheetId="169" r:id="rId157"/>
    <sheet name="B-III-7" sheetId="170" r:id="rId158"/>
    <sheet name="B-III-7A" sheetId="171" r:id="rId159"/>
    <sheet name="B-III-8" sheetId="172" r:id="rId160"/>
    <sheet name="B-III-9" sheetId="173" r:id="rId161"/>
    <sheet name="G-I-1" sheetId="117" r:id="rId162"/>
    <sheet name="G-I-4" sheetId="118" r:id="rId163"/>
    <sheet name="G-I-5" sheetId="119" r:id="rId164"/>
    <sheet name="G-I-6" sheetId="120" r:id="rId165"/>
    <sheet name="G-I-7" sheetId="121" r:id="rId166"/>
    <sheet name="GB-I-1" sheetId="122" r:id="rId167"/>
    <sheet name="GB-I-1A" sheetId="123" r:id="rId168"/>
    <sheet name="GB-I-4" sheetId="124" r:id="rId169"/>
    <sheet name="GB-I-5" sheetId="125" r:id="rId170"/>
    <sheet name="TS-15KVA" sheetId="108" r:id="rId171"/>
    <sheet name="TS-25KVA" sheetId="109" r:id="rId172"/>
    <sheet name="TS-37.5KVA" sheetId="14" r:id="rId173"/>
    <sheet name="TS-50KVA" sheetId="80" r:id="rId174"/>
    <sheet name="TS-75KVA" sheetId="110" r:id="rId175"/>
    <sheet name="TS-100KVA" sheetId="111" r:id="rId176"/>
    <sheet name="TD-15KVA" sheetId="139" r:id="rId177"/>
    <sheet name="TD-25KVA" sheetId="140" r:id="rId178"/>
    <sheet name="TD-37.5KVA" sheetId="141" r:id="rId179"/>
    <sheet name="TD-50KVA" sheetId="142" r:id="rId180"/>
    <sheet name="TD-75KVA" sheetId="143" r:id="rId181"/>
    <sheet name="TD-100KVA" sheetId="144" r:id="rId182"/>
    <sheet name="TT-15KVA" sheetId="145" r:id="rId183"/>
    <sheet name="TT-25KVA" sheetId="148" r:id="rId184"/>
    <sheet name="TT-37.5KVA" sheetId="149" r:id="rId185"/>
    <sheet name="TT-50KVA" sheetId="150" r:id="rId186"/>
    <sheet name="TT-75KVA" sheetId="151" r:id="rId187"/>
    <sheet name="TT-100KVA" sheetId="152" r:id="rId188"/>
    <sheet name="CA-32" sheetId="194" r:id="rId189"/>
    <sheet name="CS-1" sheetId="175" r:id="rId190"/>
    <sheet name="CS-2" sheetId="83" r:id="rId191"/>
    <sheet name="CT-N" sheetId="23" r:id="rId192"/>
    <sheet name="CT-G" sheetId="176" r:id="rId193"/>
    <sheet name="LL-1-50W" sheetId="189" r:id="rId194"/>
    <sheet name="LL-1-28-50W" sheetId="90" r:id="rId195"/>
    <sheet name="LL-1-100W" sheetId="107" r:id="rId196"/>
    <sheet name="LL-1-200W" sheetId="174" r:id="rId197"/>
    <sheet name="R-1" sheetId="24" r:id="rId198"/>
    <sheet name="R-2" sheetId="25" r:id="rId199"/>
    <sheet name="R-3" sheetId="92" r:id="rId200"/>
    <sheet name="R-3C" sheetId="91" r:id="rId201"/>
    <sheet name="R-3V" sheetId="106" r:id="rId202"/>
    <sheet name="R-4" sheetId="26" r:id="rId203"/>
    <sheet name="R-5T" sheetId="112" r:id="rId204"/>
  </sheets>
  <definedNames>
    <definedName name="cod" localSheetId="88">tbmateriales[[#All],[CODIGO]]</definedName>
    <definedName name="cod" localSheetId="91">tbmateriales[[#All],[CODIGO]]</definedName>
    <definedName name="cod" localSheetId="92">tbmateriales[[#All],[CODIGO]]</definedName>
    <definedName name="cod" localSheetId="93">tbmateriales[[#All],[CODIGO]]</definedName>
    <definedName name="cod" localSheetId="94">tbmateriales[[#All],[CODIGO]]</definedName>
    <definedName name="cod" localSheetId="95">tbmateriales[[#All],[CODIGO]]</definedName>
    <definedName name="cod" localSheetId="96">tbmateriales[[#All],[CODIGO]]</definedName>
    <definedName name="cod" localSheetId="97">tbmateriales[[#All],[CODIGO]]</definedName>
    <definedName name="cod" localSheetId="98">tbmateriales[[#All],[CODIGO]]</definedName>
    <definedName name="cod" localSheetId="116">tbmateriales[[#All],[CODIGO]]</definedName>
    <definedName name="cod" localSheetId="117">tbmateriales[[#All],[CODIGO]]</definedName>
    <definedName name="cod" localSheetId="119">tbmateriales[[#All],[CODIGO]]</definedName>
    <definedName name="cod" localSheetId="121">tbmateriales[[#All],[CODIGO]]</definedName>
    <definedName name="cod" localSheetId="123">tbmateriales[[#All],[CODIGO]]</definedName>
    <definedName name="cod" localSheetId="124">tbmateriales[[#All],[CODIGO]]</definedName>
    <definedName name="cod" localSheetId="125">tbmateriales[[#All],[CODIGO]]</definedName>
    <definedName name="cod" localSheetId="126">tbmateriales[[#All],[CODIGO]]</definedName>
    <definedName name="cod" localSheetId="130">tbmateriales[[#All],[CODIGO]]</definedName>
    <definedName name="cod" localSheetId="131">tbmateriales[[#All],[CODIGO]]</definedName>
    <definedName name="cod" localSheetId="133">tbmateriales[[#All],[CODIGO]]</definedName>
    <definedName name="cod" localSheetId="134">tbmateriales[[#All],[CODIGO]]</definedName>
    <definedName name="cod" localSheetId="135">tbmateriales[[#All],[CODIGO]]</definedName>
    <definedName name="cod" localSheetId="136">tbmateriales[[#All],[CODIGO]]</definedName>
    <definedName name="cod" localSheetId="137">tbmateriales[[#All],[CODIGO]]</definedName>
    <definedName name="cod" localSheetId="138">tbmateriales[[#All],[CODIGO]]</definedName>
    <definedName name="cod" localSheetId="139">tbmateriales[[#All],[CODIGO]]</definedName>
    <definedName name="cod" localSheetId="140">tbmateriales[[#All],[CODIGO]]</definedName>
    <definedName name="cod" localSheetId="141">tbmateriales[[#All],[CODIGO]]</definedName>
    <definedName name="cod" localSheetId="142">tbmateriales[[#All],[CODIGO]]</definedName>
    <definedName name="cod" localSheetId="143">tbmateriales[[#All],[CODIGO]]</definedName>
    <definedName name="cod" localSheetId="145">tbmateriales[[#All],[CODIGO]]</definedName>
    <definedName name="cod" localSheetId="147">tbmateriales[[#All],[CODIGO]]</definedName>
    <definedName name="cod" localSheetId="148">tbmateriales[[#All],[CODIGO]]</definedName>
    <definedName name="cod" localSheetId="150">tbmateriales[[#All],[CODIGO]]</definedName>
    <definedName name="cod" localSheetId="151">tbmateriales[[#All],[CODIGO]]</definedName>
    <definedName name="cod" localSheetId="152">tbmateriales[[#All],[CODIGO]]</definedName>
    <definedName name="cod" localSheetId="155">tbmateriales[[#All],[CODIGO]]</definedName>
    <definedName name="cod" localSheetId="156">tbmateriales[[#All],[CODIGO]]</definedName>
    <definedName name="cod" localSheetId="157">tbmateriales[[#All],[CODIGO]]</definedName>
    <definedName name="cod" localSheetId="158">tbmateriales[[#All],[CODIGO]]</definedName>
    <definedName name="cod" localSheetId="159">tbmateriales[[#All],[CODIGO]]</definedName>
    <definedName name="cod" localSheetId="160">tbmateriales[[#All],[CODIGO]]</definedName>
    <definedName name="cod" localSheetId="188">tbmateriales[[#All],[CODIGO]]</definedName>
    <definedName name="cod" localSheetId="189">tbmateriales[[#All],[CODIGO]]</definedName>
    <definedName name="cod" localSheetId="192">tbmateriales[[#All],[CODIGO]]</definedName>
    <definedName name="cod" localSheetId="111">tbmateriales[[#All],[CODIGO]]</definedName>
    <definedName name="cod" localSheetId="112">tbmateriales[[#All],[CODIGO]]</definedName>
    <definedName name="cod" localSheetId="113">tbmateriales[[#All],[CODIGO]]</definedName>
    <definedName name="cod" localSheetId="114">tbmateriales[[#All],[CODIGO]]</definedName>
    <definedName name="cod" localSheetId="99">tbmateriales[[#All],[CODIGO]]</definedName>
    <definedName name="cod" localSheetId="100">tbmateriales[[#All],[CODIGO]]</definedName>
    <definedName name="cod" localSheetId="101">tbmateriales[[#All],[CODIGO]]</definedName>
    <definedName name="cod" localSheetId="102">tbmateriales[[#All],[CODIGO]]</definedName>
    <definedName name="cod" localSheetId="103">tbmateriales[[#All],[CODIGO]]</definedName>
    <definedName name="cod" localSheetId="104">tbmateriales[[#All],[CODIGO]]</definedName>
    <definedName name="cod" localSheetId="105">tbmateriales[[#All],[CODIGO]]</definedName>
    <definedName name="cod" localSheetId="106">tbmateriales[[#All],[CODIGO]]</definedName>
    <definedName name="cod" localSheetId="107">tbmateriales[[#All],[CODIGO]]</definedName>
    <definedName name="cod" localSheetId="108">tbmateriales[[#All],[CODIGO]]</definedName>
    <definedName name="cod" localSheetId="109">tbmateriales[[#All],[CODIGO]]</definedName>
    <definedName name="cod" localSheetId="110">tbmateriales[[#All],[CODIGO]]</definedName>
    <definedName name="cod" localSheetId="166">tbmateriales[[#All],[CODIGO]]</definedName>
    <definedName name="cod" localSheetId="167">tbmateriales[[#All],[CODIGO]]</definedName>
    <definedName name="cod" localSheetId="168">tbmateriales[[#All],[CODIGO]]</definedName>
    <definedName name="cod" localSheetId="169">tbmateriales[[#All],[CODIGO]]</definedName>
    <definedName name="cod" localSheetId="161">tbmateriales[[#All],[CODIGO]]</definedName>
    <definedName name="cod" localSheetId="162">tbmateriales[[#All],[CODIGO]]</definedName>
    <definedName name="cod" localSheetId="163">tbmateriales[[#All],[CODIGO]]</definedName>
    <definedName name="cod" localSheetId="164">tbmateriales[[#All],[CODIGO]]</definedName>
    <definedName name="cod" localSheetId="165">tbmateriales[[#All],[CODIGO]]</definedName>
    <definedName name="cod" localSheetId="2">tbmateriales4[[#All],[CÓDIGO]]</definedName>
    <definedName name="cod" localSheetId="195">tbmateriales[[#All],[CODIGO]]</definedName>
    <definedName name="cod" localSheetId="196">tbmateriales[[#All],[CODIGO]]</definedName>
    <definedName name="cod" localSheetId="193">tbmateriales[[#All],[CODIGO]]</definedName>
    <definedName name="cod" localSheetId="11">tbmateriales[[#All],[CODIGO]]</definedName>
    <definedName name="cod" localSheetId="26">tbmateriales[[#All],[CODIGO]]</definedName>
    <definedName name="cod" localSheetId="21">tbmateriales[[#All],[CODIGO]]</definedName>
    <definedName name="cod" localSheetId="22">tbmateriales[[#All],[CODIGO]]</definedName>
    <definedName name="cod" localSheetId="23">tbmateriales[[#All],[CODIGO]]</definedName>
    <definedName name="cod" localSheetId="24">tbmateriales[[#All],[CODIGO]]</definedName>
    <definedName name="cod" localSheetId="16">tbmateriales[[#All],[CODIGO]]</definedName>
    <definedName name="cod" localSheetId="25">tbmateriales[[#All],[CODIGO]]</definedName>
    <definedName name="cod" localSheetId="4">tbmateriales[[#All],[CODIGO]]</definedName>
    <definedName name="cod" localSheetId="5">tbmateriales[[#All],[CODIGO]]</definedName>
    <definedName name="cod" localSheetId="6">tbmateriales[[#All],[CODIGO]]</definedName>
    <definedName name="cod" localSheetId="7">tbmateriales[[#All],[CODIGO]]</definedName>
    <definedName name="cod" localSheetId="17">tbmateriales[[#All],[CODIGO]]</definedName>
    <definedName name="cod" localSheetId="18">tbmateriales[[#All],[CODIGO]]</definedName>
    <definedName name="cod" localSheetId="19">tbmateriales[[#All],[CODIGO]]</definedName>
    <definedName name="cod" localSheetId="20">tbmateriales[[#All],[CODIGO]]</definedName>
    <definedName name="cod" localSheetId="201">tbmateriales[[#All],[CODIGO]]</definedName>
    <definedName name="cod" localSheetId="203">tbmateriales[[#All],[CODIGO]]</definedName>
    <definedName name="cod" localSheetId="181">tbmateriales[[#All],[CODIGO]]</definedName>
    <definedName name="cod" localSheetId="176">tbmateriales[[#All],[CODIGO]]</definedName>
    <definedName name="cod" localSheetId="177">tbmateriales[[#All],[CODIGO]]</definedName>
    <definedName name="cod" localSheetId="178">tbmateriales[[#All],[CODIGO]]</definedName>
    <definedName name="cod" localSheetId="179">tbmateriales[[#All],[CODIGO]]</definedName>
    <definedName name="cod" localSheetId="180">tbmateriales[[#All],[CODIGO]]</definedName>
    <definedName name="cod" localSheetId="175">tbmateriales[[#All],[CODIGO]]</definedName>
    <definedName name="cod" localSheetId="170">tbmateriales[[#All],[CODIGO]]</definedName>
    <definedName name="cod" localSheetId="171">tbmateriales[[#All],[CODIGO]]</definedName>
    <definedName name="cod" localSheetId="174">tbmateriales[[#All],[CODIGO]]</definedName>
    <definedName name="cod" localSheetId="187">tbmateriales[[#All],[CODIGO]]</definedName>
    <definedName name="cod" localSheetId="182">tbmateriales[[#All],[CODIGO]]</definedName>
    <definedName name="cod" localSheetId="183">tbmateriales[[#All],[CODIGO]]</definedName>
    <definedName name="cod" localSheetId="184">tbmateriales[[#All],[CODIGO]]</definedName>
    <definedName name="cod" localSheetId="185">tbmateriales[[#All],[CODIGO]]</definedName>
    <definedName name="cod" localSheetId="186">tbmateriales[[#All],[CODIGO]]</definedName>
    <definedName name="cod">tbmateriales[[#All],[CODIGO]]</definedName>
    <definedName name="tmat" localSheetId="88">tbmateriales[[#All],[CODIGO]:[REFERENCIA]]</definedName>
    <definedName name="tmat" localSheetId="91">tbmateriales[[#All],[CODIGO]:[REFERENCIA]]</definedName>
    <definedName name="tmat" localSheetId="92">tbmateriales[[#All],[CODIGO]:[REFERENCIA]]</definedName>
    <definedName name="tmat" localSheetId="93">tbmateriales[[#All],[CODIGO]:[REFERENCIA]]</definedName>
    <definedName name="tmat" localSheetId="94">tbmateriales[[#All],[CODIGO]:[REFERENCIA]]</definedName>
    <definedName name="tmat" localSheetId="95">tbmateriales[[#All],[CODIGO]:[REFERENCIA]]</definedName>
    <definedName name="tmat" localSheetId="96">tbmateriales[[#All],[CODIGO]:[REFERENCIA]]</definedName>
    <definedName name="tmat" localSheetId="97">tbmateriales[[#All],[CODIGO]:[REFERENCIA]]</definedName>
    <definedName name="tmat" localSheetId="98">tbmateriales[[#All],[CODIGO]:[REFERENCIA]]</definedName>
    <definedName name="tmat" localSheetId="116">tbmateriales[[#All],[CODIGO]:[REFERENCIA]]</definedName>
    <definedName name="tmat" localSheetId="117">tbmateriales[[#All],[CODIGO]:[REFERENCIA]]</definedName>
    <definedName name="tmat" localSheetId="119">tbmateriales[[#All],[CODIGO]:[REFERENCIA]]</definedName>
    <definedName name="tmat" localSheetId="121">tbmateriales[[#All],[CODIGO]:[REFERENCIA]]</definedName>
    <definedName name="tmat" localSheetId="123">tbmateriales[[#All],[CODIGO]:[REFERENCIA]]</definedName>
    <definedName name="tmat" localSheetId="124">tbmateriales[[#All],[CODIGO]:[REFERENCIA]]</definedName>
    <definedName name="tmat" localSheetId="125">tbmateriales[[#All],[CODIGO]:[REFERENCIA]]</definedName>
    <definedName name="tmat" localSheetId="126">tbmateriales[[#All],[CODIGO]:[REFERENCIA]]</definedName>
    <definedName name="tmat" localSheetId="130">tbmateriales[[#All],[CODIGO]:[REFERENCIA]]</definedName>
    <definedName name="tmat" localSheetId="131">tbmateriales[[#All],[CODIGO]:[REFERENCIA]]</definedName>
    <definedName name="tmat" localSheetId="133">tbmateriales[[#All],[CODIGO]:[REFERENCIA]]</definedName>
    <definedName name="tmat" localSheetId="134">tbmateriales[[#All],[CODIGO]:[REFERENCIA]]</definedName>
    <definedName name="tmat" localSheetId="135">tbmateriales[[#All],[CODIGO]:[REFERENCIA]]</definedName>
    <definedName name="tmat" localSheetId="136">tbmateriales[[#All],[CODIGO]:[REFERENCIA]]</definedName>
    <definedName name="tmat" localSheetId="137">tbmateriales[[#All],[CODIGO]:[REFERENCIA]]</definedName>
    <definedName name="tmat" localSheetId="138">tbmateriales[[#All],[CODIGO]:[REFERENCIA]]</definedName>
    <definedName name="tmat" localSheetId="139">tbmateriales[[#All],[CODIGO]:[REFERENCIA]]</definedName>
    <definedName name="tmat" localSheetId="140">tbmateriales[[#All],[CODIGO]:[REFERENCIA]]</definedName>
    <definedName name="tmat" localSheetId="141">tbmateriales[[#All],[CODIGO]:[REFERENCIA]]</definedName>
    <definedName name="tmat" localSheetId="142">tbmateriales[[#All],[CODIGO]:[REFERENCIA]]</definedName>
    <definedName name="tmat" localSheetId="143">tbmateriales[[#All],[CODIGO]:[REFERENCIA]]</definedName>
    <definedName name="tmat" localSheetId="145">tbmateriales[[#All],[CODIGO]:[REFERENCIA]]</definedName>
    <definedName name="tmat" localSheetId="147">tbmateriales[[#All],[CODIGO]:[REFERENCIA]]</definedName>
    <definedName name="tmat" localSheetId="148">tbmateriales[[#All],[CODIGO]:[REFERENCIA]]</definedName>
    <definedName name="tmat" localSheetId="150">tbmateriales[[#All],[CODIGO]:[REFERENCIA]]</definedName>
    <definedName name="tmat" localSheetId="151">tbmateriales[[#All],[CODIGO]:[REFERENCIA]]</definedName>
    <definedName name="tmat" localSheetId="152">tbmateriales[[#All],[CODIGO]:[REFERENCIA]]</definedName>
    <definedName name="tmat" localSheetId="155">tbmateriales[[#All],[CODIGO]:[REFERENCIA]]</definedName>
    <definedName name="tmat" localSheetId="156">tbmateriales[[#All],[CODIGO]:[REFERENCIA]]</definedName>
    <definedName name="tmat" localSheetId="157">tbmateriales[[#All],[CODIGO]:[REFERENCIA]]</definedName>
    <definedName name="tmat" localSheetId="158">tbmateriales[[#All],[CODIGO]:[REFERENCIA]]</definedName>
    <definedName name="tmat" localSheetId="159">tbmateriales[[#All],[CODIGO]:[REFERENCIA]]</definedName>
    <definedName name="tmat" localSheetId="160">tbmateriales[[#All],[CODIGO]:[REFERENCIA]]</definedName>
    <definedName name="tmat" localSheetId="188">tbmateriales[[#All],[CODIGO]:[REFERENCIA]]</definedName>
    <definedName name="tmat" localSheetId="189">tbmateriales[[#All],[CODIGO]:[REFERENCIA]]</definedName>
    <definedName name="tmat" localSheetId="192">tbmateriales[[#All],[CODIGO]:[REFERENCIA]]</definedName>
    <definedName name="tmat" localSheetId="111">tbmateriales[[#All],[CODIGO]:[REFERENCIA]]</definedName>
    <definedName name="tmat" localSheetId="112">tbmateriales[[#All],[CODIGO]:[REFERENCIA]]</definedName>
    <definedName name="tmat" localSheetId="113">tbmateriales[[#All],[CODIGO]:[REFERENCIA]]</definedName>
    <definedName name="tmat" localSheetId="114">tbmateriales[[#All],[CODIGO]:[REFERENCIA]]</definedName>
    <definedName name="tmat" localSheetId="99">tbmateriales[[#All],[CODIGO]:[REFERENCIA]]</definedName>
    <definedName name="tmat" localSheetId="100">tbmateriales[[#All],[CODIGO]:[REFERENCIA]]</definedName>
    <definedName name="tmat" localSheetId="101">tbmateriales[[#All],[CODIGO]:[REFERENCIA]]</definedName>
    <definedName name="tmat" localSheetId="102">tbmateriales[[#All],[CODIGO]:[REFERENCIA]]</definedName>
    <definedName name="tmat" localSheetId="103">tbmateriales[[#All],[CODIGO]:[REFERENCIA]]</definedName>
    <definedName name="tmat" localSheetId="104">tbmateriales[[#All],[CODIGO]:[REFERENCIA]]</definedName>
    <definedName name="tmat" localSheetId="105">tbmateriales[[#All],[CODIGO]:[REFERENCIA]]</definedName>
    <definedName name="tmat" localSheetId="106">tbmateriales[[#All],[CODIGO]:[REFERENCIA]]</definedName>
    <definedName name="tmat" localSheetId="107">tbmateriales[[#All],[CODIGO]:[REFERENCIA]]</definedName>
    <definedName name="tmat" localSheetId="108">tbmateriales[[#All],[CODIGO]:[REFERENCIA]]</definedName>
    <definedName name="tmat" localSheetId="109">tbmateriales[[#All],[CODIGO]:[REFERENCIA]]</definedName>
    <definedName name="tmat" localSheetId="110">tbmateriales[[#All],[CODIGO]:[REFERENCIA]]</definedName>
    <definedName name="tmat" localSheetId="166">tbmateriales[[#All],[CODIGO]:[REFERENCIA]]</definedName>
    <definedName name="tmat" localSheetId="167">tbmateriales[[#All],[CODIGO]:[REFERENCIA]]</definedName>
    <definedName name="tmat" localSheetId="168">tbmateriales[[#All],[CODIGO]:[REFERENCIA]]</definedName>
    <definedName name="tmat" localSheetId="169">tbmateriales[[#All],[CODIGO]:[REFERENCIA]]</definedName>
    <definedName name="tmat" localSheetId="161">tbmateriales[[#All],[CODIGO]:[REFERENCIA]]</definedName>
    <definedName name="tmat" localSheetId="162">tbmateriales[[#All],[CODIGO]:[REFERENCIA]]</definedName>
    <definedName name="tmat" localSheetId="163">tbmateriales[[#All],[CODIGO]:[REFERENCIA]]</definedName>
    <definedName name="tmat" localSheetId="164">tbmateriales[[#All],[CODIGO]:[REFERENCIA]]</definedName>
    <definedName name="tmat" localSheetId="165">tbmateriales[[#All],[CODIGO]:[REFERENCIA]]</definedName>
    <definedName name="tmat" localSheetId="2">tbmateriales4[[#All],[CÓDIGO]:[REFERENCIA]]</definedName>
    <definedName name="tmat" localSheetId="195">tbmateriales[[#All],[CODIGO]:[REFERENCIA]]</definedName>
    <definedName name="tmat" localSheetId="196">tbmateriales[[#All],[CODIGO]:[REFERENCIA]]</definedName>
    <definedName name="tmat" localSheetId="193">tbmateriales[[#All],[CODIGO]:[REFERENCIA]]</definedName>
    <definedName name="tmat" localSheetId="11">tbmateriales[[#All],[CODIGO]:[REFERENCIA]]</definedName>
    <definedName name="tmat" localSheetId="26">tbmateriales[[#All],[CODIGO]:[REFERENCIA]]</definedName>
    <definedName name="tmat" localSheetId="21">tbmateriales[[#All],[CODIGO]:[REFERENCIA]]</definedName>
    <definedName name="tmat" localSheetId="22">tbmateriales[[#All],[CODIGO]:[REFERENCIA]]</definedName>
    <definedName name="tmat" localSheetId="23">tbmateriales[[#All],[CODIGO]:[REFERENCIA]]</definedName>
    <definedName name="tmat" localSheetId="24">tbmateriales[[#All],[CODIGO]:[REFERENCIA]]</definedName>
    <definedName name="tmat" localSheetId="16">tbmateriales[[#All],[CODIGO]:[REFERENCIA]]</definedName>
    <definedName name="tmat" localSheetId="25">tbmateriales[[#All],[CODIGO]:[REFERENCIA]]</definedName>
    <definedName name="tmat" localSheetId="4">tbmateriales[[#All],[CODIGO]:[REFERENCIA]]</definedName>
    <definedName name="tmat" localSheetId="5">tbmateriales[[#All],[CODIGO]:[REFERENCIA]]</definedName>
    <definedName name="tmat" localSheetId="6">tbmateriales[[#All],[CODIGO]:[REFERENCIA]]</definedName>
    <definedName name="tmat" localSheetId="7">tbmateriales[[#All],[CODIGO]:[REFERENCIA]]</definedName>
    <definedName name="tmat" localSheetId="17">tbmateriales[[#All],[CODIGO]:[REFERENCIA]]</definedName>
    <definedName name="tmat" localSheetId="18">tbmateriales[[#All],[CODIGO]:[REFERENCIA]]</definedName>
    <definedName name="tmat" localSheetId="19">tbmateriales[[#All],[CODIGO]:[REFERENCIA]]</definedName>
    <definedName name="tmat" localSheetId="20">tbmateriales[[#All],[CODIGO]:[REFERENCIA]]</definedName>
    <definedName name="tmat" localSheetId="201">tbmateriales[[#All],[CODIGO]:[REFERENCIA]]</definedName>
    <definedName name="tmat" localSheetId="203">tbmateriales[[#All],[CODIGO]:[REFERENCIA]]</definedName>
    <definedName name="tmat" localSheetId="181">tbmateriales[[#All],[CODIGO]:[REFERENCIA]]</definedName>
    <definedName name="tmat" localSheetId="176">tbmateriales[[#All],[CODIGO]:[REFERENCIA]]</definedName>
    <definedName name="tmat" localSheetId="177">tbmateriales[[#All],[CODIGO]:[REFERENCIA]]</definedName>
    <definedName name="tmat" localSheetId="178">tbmateriales[[#All],[CODIGO]:[REFERENCIA]]</definedName>
    <definedName name="tmat" localSheetId="179">tbmateriales[[#All],[CODIGO]:[REFERENCIA]]</definedName>
    <definedName name="tmat" localSheetId="180">tbmateriales[[#All],[CODIGO]:[REFERENCIA]]</definedName>
    <definedName name="tmat" localSheetId="175">tbmateriales[[#All],[CODIGO]:[REFERENCIA]]</definedName>
    <definedName name="tmat" localSheetId="170">tbmateriales[[#All],[CODIGO]:[REFERENCIA]]</definedName>
    <definedName name="tmat" localSheetId="171">tbmateriales[[#All],[CODIGO]:[REFERENCIA]]</definedName>
    <definedName name="tmat" localSheetId="174">tbmateriales[[#All],[CODIGO]:[REFERENCIA]]</definedName>
    <definedName name="tmat" localSheetId="187">tbmateriales[[#All],[CODIGO]:[REFERENCIA]]</definedName>
    <definedName name="tmat" localSheetId="182">tbmateriales[[#All],[CODIGO]:[REFERENCIA]]</definedName>
    <definedName name="tmat" localSheetId="183">tbmateriales[[#All],[CODIGO]:[REFERENCIA]]</definedName>
    <definedName name="tmat" localSheetId="184">tbmateriales[[#All],[CODIGO]:[REFERENCIA]]</definedName>
    <definedName name="tmat" localSheetId="185">tbmateriales[[#All],[CODIGO]:[REFERENCIA]]</definedName>
    <definedName name="tmat" localSheetId="186">tbmateriales[[#All],[CODIGO]:[REFERENCIA]]</definedName>
    <definedName name="tmat">tbmateriales[[#All],[CODIGO]:[REFERENCIA]]</definedName>
  </definedNames>
  <calcPr calcId="181029"/>
</workbook>
</file>

<file path=xl/calcChain.xml><?xml version="1.0" encoding="utf-8"?>
<calcChain xmlns="http://schemas.openxmlformats.org/spreadsheetml/2006/main">
  <c r="B16" i="204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3" i="3"/>
  <c r="F4" i="3"/>
  <c r="F5" i="3"/>
  <c r="F6" i="3"/>
  <c r="F7" i="3"/>
  <c r="F8" i="3"/>
  <c r="F9" i="3"/>
  <c r="F2" i="3"/>
  <c r="F2" i="99"/>
  <c r="F3" i="99" s="1"/>
  <c r="B2" i="99"/>
  <c r="B16" i="209"/>
  <c r="B19" i="209"/>
  <c r="B18" i="209"/>
  <c r="B17" i="209"/>
  <c r="B15" i="209"/>
  <c r="B14" i="209"/>
  <c r="B13" i="209"/>
  <c r="B12" i="209"/>
  <c r="B11" i="209"/>
  <c r="B10" i="209"/>
  <c r="B9" i="209"/>
  <c r="B8" i="209"/>
  <c r="B7" i="209"/>
  <c r="B6" i="209"/>
  <c r="B5" i="209"/>
  <c r="B4" i="209"/>
  <c r="B3" i="209"/>
  <c r="B2" i="209"/>
  <c r="B6" i="208"/>
  <c r="B19" i="208"/>
  <c r="B20" i="208"/>
  <c r="B21" i="208"/>
  <c r="B18" i="208"/>
  <c r="B17" i="208"/>
  <c r="B16" i="208"/>
  <c r="B15" i="208"/>
  <c r="B14" i="208"/>
  <c r="B13" i="208"/>
  <c r="B12" i="208"/>
  <c r="B11" i="208"/>
  <c r="B10" i="208"/>
  <c r="B9" i="208"/>
  <c r="B8" i="208"/>
  <c r="B7" i="208"/>
  <c r="B5" i="208"/>
  <c r="B4" i="208"/>
  <c r="B3" i="208"/>
  <c r="B2" i="208"/>
  <c r="B16" i="207"/>
  <c r="B17" i="207"/>
  <c r="B10" i="207"/>
  <c r="B15" i="207"/>
  <c r="B14" i="207"/>
  <c r="B13" i="207"/>
  <c r="B12" i="207"/>
  <c r="B11" i="207"/>
  <c r="B9" i="207"/>
  <c r="B8" i="207"/>
  <c r="B7" i="207"/>
  <c r="B6" i="207"/>
  <c r="B5" i="207"/>
  <c r="B4" i="207"/>
  <c r="B3" i="207"/>
  <c r="B2" i="207"/>
  <c r="B14" i="206"/>
  <c r="B13" i="206"/>
  <c r="B12" i="206"/>
  <c r="B11" i="206"/>
  <c r="B10" i="206"/>
  <c r="B9" i="206"/>
  <c r="B8" i="206"/>
  <c r="B7" i="206"/>
  <c r="B6" i="206"/>
  <c r="B5" i="206"/>
  <c r="B4" i="206"/>
  <c r="B3" i="206"/>
  <c r="B2" i="206"/>
  <c r="B3" i="205"/>
  <c r="B4" i="205"/>
  <c r="B5" i="205"/>
  <c r="B6" i="205"/>
  <c r="B2" i="205"/>
  <c r="B15" i="204"/>
  <c r="B14" i="204"/>
  <c r="B13" i="204"/>
  <c r="B12" i="204"/>
  <c r="B11" i="204"/>
  <c r="B10" i="204"/>
  <c r="B9" i="204"/>
  <c r="B8" i="204"/>
  <c r="B7" i="204"/>
  <c r="B6" i="204"/>
  <c r="B5" i="204"/>
  <c r="B4" i="204"/>
  <c r="B3" i="204"/>
  <c r="B2" i="204"/>
  <c r="B2" i="203"/>
  <c r="B2" i="202"/>
  <c r="B2" i="201"/>
  <c r="B2" i="200"/>
  <c r="B2" i="199"/>
  <c r="B2" i="198"/>
  <c r="B2" i="197"/>
  <c r="B2" i="196"/>
  <c r="B5" i="194"/>
  <c r="B4" i="194"/>
  <c r="B3" i="194"/>
  <c r="B2" i="194"/>
  <c r="B2" i="193"/>
  <c r="B2" i="192"/>
  <c r="B2" i="191"/>
  <c r="B2" i="190"/>
  <c r="B3" i="26"/>
  <c r="B4" i="26"/>
  <c r="B5" i="26"/>
  <c r="B6" i="26"/>
  <c r="B7" i="26"/>
  <c r="B8" i="26"/>
  <c r="B9" i="26"/>
  <c r="B10" i="26"/>
  <c r="B11" i="26"/>
  <c r="B12" i="26"/>
  <c r="B2" i="26"/>
  <c r="B7" i="189"/>
  <c r="B8" i="189"/>
  <c r="B6" i="189"/>
  <c r="B5" i="189"/>
  <c r="B4" i="189"/>
  <c r="B3" i="189"/>
  <c r="B2" i="189"/>
  <c r="B17" i="188"/>
  <c r="B16" i="188"/>
  <c r="B15" i="188"/>
  <c r="B14" i="188"/>
  <c r="B13" i="188"/>
  <c r="B12" i="188"/>
  <c r="B11" i="188"/>
  <c r="B10" i="188"/>
  <c r="B9" i="188"/>
  <c r="B8" i="188"/>
  <c r="B7" i="188"/>
  <c r="B6" i="188"/>
  <c r="B5" i="188"/>
  <c r="B4" i="188"/>
  <c r="B3" i="188"/>
  <c r="B2" i="188"/>
  <c r="B18" i="187"/>
  <c r="B17" i="187"/>
  <c r="B16" i="187"/>
  <c r="B15" i="187"/>
  <c r="B14" i="187"/>
  <c r="B13" i="187"/>
  <c r="B12" i="187"/>
  <c r="B11" i="187"/>
  <c r="B10" i="187"/>
  <c r="B9" i="187"/>
  <c r="B8" i="187"/>
  <c r="B7" i="187"/>
  <c r="B6" i="187"/>
  <c r="B5" i="187"/>
  <c r="B4" i="187"/>
  <c r="B3" i="187"/>
  <c r="B2" i="187"/>
  <c r="B15" i="186"/>
  <c r="B19" i="186"/>
  <c r="B18" i="186"/>
  <c r="B17" i="186"/>
  <c r="B16" i="186"/>
  <c r="B14" i="186"/>
  <c r="B13" i="186"/>
  <c r="B12" i="186"/>
  <c r="B11" i="186"/>
  <c r="B10" i="186"/>
  <c r="B9" i="186"/>
  <c r="B8" i="186"/>
  <c r="B7" i="186"/>
  <c r="B6" i="186"/>
  <c r="B5" i="186"/>
  <c r="B4" i="186"/>
  <c r="B3" i="186"/>
  <c r="B2" i="186"/>
  <c r="B18" i="185"/>
  <c r="B17" i="185"/>
  <c r="B16" i="185"/>
  <c r="B15" i="185"/>
  <c r="B14" i="185"/>
  <c r="B13" i="185"/>
  <c r="B12" i="185"/>
  <c r="B11" i="185"/>
  <c r="B10" i="185"/>
  <c r="B9" i="185"/>
  <c r="B8" i="185"/>
  <c r="B7" i="185"/>
  <c r="B6" i="185"/>
  <c r="B5" i="185"/>
  <c r="B4" i="185"/>
  <c r="B3" i="185"/>
  <c r="B2" i="185"/>
  <c r="B19" i="184"/>
  <c r="B18" i="184"/>
  <c r="B17" i="184"/>
  <c r="B16" i="184"/>
  <c r="B15" i="184"/>
  <c r="B14" i="184"/>
  <c r="B13" i="184"/>
  <c r="B12" i="184"/>
  <c r="B11" i="184"/>
  <c r="B10" i="184"/>
  <c r="B9" i="184"/>
  <c r="B8" i="184"/>
  <c r="B7" i="184"/>
  <c r="B6" i="184"/>
  <c r="B5" i="184"/>
  <c r="B4" i="184"/>
  <c r="B3" i="184"/>
  <c r="B2" i="184"/>
  <c r="B19" i="183"/>
  <c r="B18" i="183"/>
  <c r="B17" i="183"/>
  <c r="B16" i="183"/>
  <c r="B15" i="183"/>
  <c r="B14" i="183"/>
  <c r="B13" i="183"/>
  <c r="B12" i="183"/>
  <c r="B11" i="183"/>
  <c r="B10" i="183"/>
  <c r="B9" i="183"/>
  <c r="B8" i="183"/>
  <c r="B7" i="183"/>
  <c r="B6" i="183"/>
  <c r="B5" i="183"/>
  <c r="B4" i="183"/>
  <c r="B3" i="183"/>
  <c r="B2" i="183"/>
  <c r="B19" i="182"/>
  <c r="B14" i="182"/>
  <c r="B18" i="182"/>
  <c r="B17" i="182"/>
  <c r="B16" i="182"/>
  <c r="B15" i="182"/>
  <c r="B13" i="182"/>
  <c r="B12" i="182"/>
  <c r="B11" i="182"/>
  <c r="B10" i="182"/>
  <c r="B9" i="182"/>
  <c r="B8" i="182"/>
  <c r="B7" i="182"/>
  <c r="B6" i="182"/>
  <c r="B5" i="182"/>
  <c r="B4" i="182"/>
  <c r="B3" i="182"/>
  <c r="B2" i="182"/>
  <c r="B7" i="181"/>
  <c r="B17" i="181"/>
  <c r="B16" i="181"/>
  <c r="B15" i="181"/>
  <c r="B14" i="181"/>
  <c r="B13" i="181"/>
  <c r="B12" i="181"/>
  <c r="B11" i="181"/>
  <c r="B10" i="181"/>
  <c r="B9" i="181"/>
  <c r="B8" i="181"/>
  <c r="B6" i="181"/>
  <c r="B5" i="181"/>
  <c r="B4" i="181"/>
  <c r="B3" i="181"/>
  <c r="B2" i="181"/>
  <c r="B9" i="180"/>
  <c r="B8" i="180"/>
  <c r="B5" i="180"/>
  <c r="B3" i="180"/>
  <c r="B2" i="180"/>
  <c r="B16" i="180"/>
  <c r="B15" i="180"/>
  <c r="B14" i="180"/>
  <c r="B13" i="180"/>
  <c r="B12" i="180"/>
  <c r="B11" i="180"/>
  <c r="B10" i="180"/>
  <c r="B7" i="180"/>
  <c r="B6" i="180"/>
  <c r="B4" i="180"/>
  <c r="B7" i="179"/>
  <c r="B4" i="179"/>
  <c r="B3" i="179"/>
  <c r="B2" i="179"/>
  <c r="B11" i="179"/>
  <c r="B10" i="179"/>
  <c r="B9" i="179"/>
  <c r="B8" i="179"/>
  <c r="B6" i="179"/>
  <c r="B5" i="179"/>
  <c r="B14" i="178"/>
  <c r="B13" i="178"/>
  <c r="B12" i="178"/>
  <c r="B11" i="178"/>
  <c r="B10" i="178"/>
  <c r="B9" i="178"/>
  <c r="B8" i="178"/>
  <c r="B7" i="178"/>
  <c r="B6" i="178"/>
  <c r="B5" i="178"/>
  <c r="B4" i="178"/>
  <c r="B3" i="178"/>
  <c r="B2" i="178"/>
  <c r="B14" i="177"/>
  <c r="B10" i="177"/>
  <c r="B9" i="177"/>
  <c r="B13" i="177"/>
  <c r="B12" i="177"/>
  <c r="B11" i="177"/>
  <c r="B8" i="177"/>
  <c r="B7" i="177"/>
  <c r="B6" i="177"/>
  <c r="B5" i="177"/>
  <c r="B4" i="177"/>
  <c r="B3" i="177"/>
  <c r="B2" i="177"/>
  <c r="B5" i="176"/>
  <c r="B4" i="176"/>
  <c r="B3" i="176"/>
  <c r="B2" i="176"/>
  <c r="B13" i="175"/>
  <c r="B12" i="175"/>
  <c r="B11" i="175"/>
  <c r="B10" i="175"/>
  <c r="B9" i="175"/>
  <c r="B8" i="175"/>
  <c r="B7" i="175"/>
  <c r="B6" i="175"/>
  <c r="B5" i="175"/>
  <c r="B4" i="175"/>
  <c r="B3" i="175"/>
  <c r="B2" i="175"/>
  <c r="B8" i="174"/>
  <c r="B7" i="174"/>
  <c r="B6" i="174"/>
  <c r="B5" i="174"/>
  <c r="B4" i="174"/>
  <c r="B3" i="174"/>
  <c r="B2" i="174"/>
  <c r="B7" i="173"/>
  <c r="B6" i="173"/>
  <c r="B5" i="173"/>
  <c r="B4" i="173"/>
  <c r="B3" i="173"/>
  <c r="B2" i="173"/>
  <c r="B3" i="172"/>
  <c r="B8" i="172"/>
  <c r="B7" i="172"/>
  <c r="B6" i="172"/>
  <c r="B5" i="172"/>
  <c r="B4" i="172"/>
  <c r="B2" i="172"/>
  <c r="B7" i="171"/>
  <c r="B6" i="171"/>
  <c r="B5" i="171"/>
  <c r="B4" i="171"/>
  <c r="B3" i="171"/>
  <c r="B2" i="171"/>
  <c r="B3" i="170"/>
  <c r="B8" i="170"/>
  <c r="B7" i="170"/>
  <c r="B6" i="170"/>
  <c r="B5" i="170"/>
  <c r="B4" i="170"/>
  <c r="B2" i="170"/>
  <c r="B10" i="169"/>
  <c r="B9" i="169"/>
  <c r="B8" i="169"/>
  <c r="B7" i="169"/>
  <c r="B6" i="169"/>
  <c r="B5" i="169"/>
  <c r="B4" i="169"/>
  <c r="B3" i="169"/>
  <c r="B2" i="169"/>
  <c r="B9" i="168"/>
  <c r="B11" i="168"/>
  <c r="B10" i="168"/>
  <c r="B8" i="168"/>
  <c r="B7" i="168"/>
  <c r="B6" i="168"/>
  <c r="B5" i="168"/>
  <c r="B4" i="168"/>
  <c r="B3" i="168"/>
  <c r="B2" i="168"/>
  <c r="B10" i="167"/>
  <c r="B9" i="167"/>
  <c r="B7" i="167"/>
  <c r="B8" i="167"/>
  <c r="B6" i="167"/>
  <c r="B5" i="167"/>
  <c r="B4" i="167"/>
  <c r="B3" i="167"/>
  <c r="B2" i="167"/>
  <c r="B8" i="166"/>
  <c r="B7" i="166"/>
  <c r="B6" i="166"/>
  <c r="B5" i="166"/>
  <c r="B4" i="166"/>
  <c r="B3" i="166"/>
  <c r="B2" i="166"/>
  <c r="B7" i="165"/>
  <c r="B6" i="165"/>
  <c r="B5" i="165"/>
  <c r="B4" i="165"/>
  <c r="B3" i="165"/>
  <c r="B2" i="165"/>
  <c r="B5" i="163"/>
  <c r="B4" i="163"/>
  <c r="B3" i="163"/>
  <c r="B2" i="163"/>
  <c r="B6" i="162"/>
  <c r="B5" i="162"/>
  <c r="B4" i="162"/>
  <c r="B3" i="162"/>
  <c r="B2" i="162"/>
  <c r="B4" i="161"/>
  <c r="B8" i="161"/>
  <c r="B7" i="161"/>
  <c r="B6" i="161"/>
  <c r="B5" i="161"/>
  <c r="B3" i="161"/>
  <c r="B2" i="161"/>
  <c r="B19" i="160"/>
  <c r="B18" i="160"/>
  <c r="B17" i="160"/>
  <c r="B16" i="160"/>
  <c r="B15" i="160"/>
  <c r="B14" i="160"/>
  <c r="B13" i="160"/>
  <c r="B12" i="160"/>
  <c r="B11" i="160"/>
  <c r="B10" i="160"/>
  <c r="B9" i="160"/>
  <c r="B8" i="160"/>
  <c r="B7" i="160"/>
  <c r="B6" i="160"/>
  <c r="B5" i="160"/>
  <c r="B4" i="160"/>
  <c r="B3" i="160"/>
  <c r="B2" i="160"/>
  <c r="B18" i="159"/>
  <c r="B11" i="159"/>
  <c r="B12" i="159"/>
  <c r="B22" i="159"/>
  <c r="B21" i="159"/>
  <c r="B20" i="159"/>
  <c r="B19" i="159"/>
  <c r="B17" i="159"/>
  <c r="B16" i="159"/>
  <c r="B15" i="159"/>
  <c r="B14" i="159"/>
  <c r="B13" i="159"/>
  <c r="B10" i="159"/>
  <c r="B9" i="159"/>
  <c r="B8" i="159"/>
  <c r="B7" i="159"/>
  <c r="B6" i="159"/>
  <c r="B5" i="159"/>
  <c r="B4" i="159"/>
  <c r="B3" i="159"/>
  <c r="B2" i="159"/>
  <c r="B19" i="158"/>
  <c r="B13" i="158"/>
  <c r="B9" i="158"/>
  <c r="B21" i="158"/>
  <c r="B20" i="158"/>
  <c r="B18" i="158"/>
  <c r="B17" i="158"/>
  <c r="B16" i="158"/>
  <c r="B15" i="158"/>
  <c r="B14" i="158"/>
  <c r="B12" i="158"/>
  <c r="B11" i="158"/>
  <c r="B10" i="158"/>
  <c r="B8" i="158"/>
  <c r="B7" i="158"/>
  <c r="B6" i="158"/>
  <c r="B5" i="158"/>
  <c r="B4" i="158"/>
  <c r="B3" i="158"/>
  <c r="B2" i="158"/>
  <c r="B10" i="157"/>
  <c r="B11" i="156"/>
  <c r="B18" i="157"/>
  <c r="B17" i="157"/>
  <c r="B16" i="157"/>
  <c r="B15" i="157"/>
  <c r="B14" i="157"/>
  <c r="B13" i="157"/>
  <c r="B12" i="157"/>
  <c r="B11" i="157"/>
  <c r="B9" i="157"/>
  <c r="B8" i="157"/>
  <c r="B7" i="157"/>
  <c r="B6" i="157"/>
  <c r="B5" i="157"/>
  <c r="B4" i="157"/>
  <c r="B3" i="157"/>
  <c r="B2" i="157"/>
  <c r="B20" i="156"/>
  <c r="B18" i="156"/>
  <c r="B13" i="156"/>
  <c r="B9" i="156"/>
  <c r="B22" i="156"/>
  <c r="B21" i="156"/>
  <c r="B19" i="156"/>
  <c r="B17" i="156"/>
  <c r="B16" i="156"/>
  <c r="B15" i="156"/>
  <c r="B14" i="156"/>
  <c r="B12" i="156"/>
  <c r="B10" i="156"/>
  <c r="B8" i="156"/>
  <c r="B7" i="156"/>
  <c r="B6" i="156"/>
  <c r="B5" i="156"/>
  <c r="B4" i="156"/>
  <c r="B3" i="156"/>
  <c r="B2" i="156"/>
  <c r="B21" i="155"/>
  <c r="B20" i="155"/>
  <c r="B19" i="155"/>
  <c r="B18" i="155"/>
  <c r="B17" i="155"/>
  <c r="B16" i="155"/>
  <c r="B15" i="155"/>
  <c r="B14" i="155"/>
  <c r="B13" i="155"/>
  <c r="B12" i="155"/>
  <c r="B11" i="155"/>
  <c r="B10" i="155"/>
  <c r="B9" i="155"/>
  <c r="B8" i="155"/>
  <c r="B7" i="155"/>
  <c r="B6" i="155"/>
  <c r="B5" i="155"/>
  <c r="B4" i="155"/>
  <c r="B3" i="155"/>
  <c r="B2" i="155"/>
  <c r="B21" i="154"/>
  <c r="B20" i="154"/>
  <c r="B19" i="154"/>
  <c r="B18" i="154"/>
  <c r="B17" i="154"/>
  <c r="B16" i="154"/>
  <c r="B15" i="154"/>
  <c r="B14" i="154"/>
  <c r="B13" i="154"/>
  <c r="B12" i="154"/>
  <c r="B11" i="154"/>
  <c r="B10" i="154"/>
  <c r="B9" i="154"/>
  <c r="B8" i="154"/>
  <c r="B7" i="154"/>
  <c r="B6" i="154"/>
  <c r="B5" i="154"/>
  <c r="B4" i="154"/>
  <c r="B3" i="154"/>
  <c r="B2" i="154"/>
  <c r="B21" i="153"/>
  <c r="B20" i="153"/>
  <c r="B16" i="153"/>
  <c r="B19" i="153"/>
  <c r="B17" i="153"/>
  <c r="B14" i="153"/>
  <c r="B13" i="153"/>
  <c r="B11" i="153"/>
  <c r="B12" i="153"/>
  <c r="B9" i="153"/>
  <c r="B10" i="153"/>
  <c r="B7" i="153"/>
  <c r="B6" i="153"/>
  <c r="B5" i="153"/>
  <c r="B3" i="153"/>
  <c r="B4" i="153"/>
  <c r="B8" i="153"/>
  <c r="B15" i="153"/>
  <c r="B18" i="153"/>
  <c r="B2" i="153"/>
  <c r="B3" i="79"/>
  <c r="B4" i="79"/>
  <c r="B5" i="79"/>
  <c r="B6" i="79"/>
  <c r="B7" i="79"/>
  <c r="B8" i="79"/>
  <c r="B9" i="79"/>
  <c r="B10" i="79"/>
  <c r="B11" i="79"/>
  <c r="B12" i="79"/>
  <c r="B13" i="79"/>
  <c r="B14" i="79"/>
  <c r="B15" i="79"/>
  <c r="B16" i="79"/>
  <c r="B2" i="79"/>
  <c r="B3" i="78"/>
  <c r="B4" i="78"/>
  <c r="B5" i="78"/>
  <c r="B6" i="78"/>
  <c r="B7" i="78"/>
  <c r="B8" i="78"/>
  <c r="B9" i="78"/>
  <c r="B10" i="78"/>
  <c r="B11" i="78"/>
  <c r="B12" i="78"/>
  <c r="B13" i="78"/>
  <c r="B14" i="78"/>
  <c r="B15" i="78"/>
  <c r="B16" i="78"/>
  <c r="B2" i="78"/>
  <c r="B3" i="76"/>
  <c r="B4" i="76"/>
  <c r="B5" i="76"/>
  <c r="B6" i="76"/>
  <c r="B7" i="76"/>
  <c r="B8" i="76"/>
  <c r="B9" i="76"/>
  <c r="B10" i="76"/>
  <c r="B11" i="76"/>
  <c r="B12" i="76"/>
  <c r="B13" i="76"/>
  <c r="B14" i="76"/>
  <c r="B15" i="76"/>
  <c r="B16" i="76"/>
  <c r="B2" i="76"/>
  <c r="B3" i="75"/>
  <c r="B4" i="75"/>
  <c r="B5" i="75"/>
  <c r="B6" i="75"/>
  <c r="B7" i="75"/>
  <c r="B8" i="75"/>
  <c r="B9" i="75"/>
  <c r="B10" i="75"/>
  <c r="B11" i="75"/>
  <c r="B12" i="75"/>
  <c r="B13" i="75"/>
  <c r="B14" i="75"/>
  <c r="B15" i="75"/>
  <c r="B2" i="75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" i="17"/>
  <c r="B3" i="77"/>
  <c r="B4" i="77"/>
  <c r="B5" i="77"/>
  <c r="B6" i="77"/>
  <c r="B7" i="77"/>
  <c r="B8" i="77"/>
  <c r="B9" i="77"/>
  <c r="B10" i="77"/>
  <c r="B11" i="77"/>
  <c r="B12" i="77"/>
  <c r="B13" i="77"/>
  <c r="B14" i="77"/>
  <c r="B15" i="77"/>
  <c r="B16" i="77"/>
  <c r="B17" i="77"/>
  <c r="B18" i="77"/>
  <c r="B19" i="77"/>
  <c r="B2" i="77"/>
  <c r="B3" i="74"/>
  <c r="B4" i="74"/>
  <c r="B5" i="74"/>
  <c r="B6" i="74"/>
  <c r="B7" i="74"/>
  <c r="B8" i="74"/>
  <c r="B9" i="74"/>
  <c r="B10" i="74"/>
  <c r="B11" i="74"/>
  <c r="B12" i="74"/>
  <c r="B13" i="74"/>
  <c r="B14" i="74"/>
  <c r="B2" i="74"/>
  <c r="B3" i="72"/>
  <c r="B4" i="72"/>
  <c r="B5" i="72"/>
  <c r="B6" i="72"/>
  <c r="B7" i="72"/>
  <c r="B8" i="72"/>
  <c r="B9" i="72"/>
  <c r="B10" i="72"/>
  <c r="B2" i="72"/>
  <c r="B3" i="71"/>
  <c r="B4" i="71"/>
  <c r="B5" i="71"/>
  <c r="B6" i="71"/>
  <c r="B7" i="71"/>
  <c r="B8" i="71"/>
  <c r="B9" i="71"/>
  <c r="B10" i="71"/>
  <c r="B11" i="71"/>
  <c r="B12" i="71"/>
  <c r="B13" i="71"/>
  <c r="B14" i="71"/>
  <c r="B15" i="71"/>
  <c r="B16" i="71"/>
  <c r="B2" i="71"/>
  <c r="B3" i="70"/>
  <c r="B4" i="70"/>
  <c r="B5" i="70"/>
  <c r="B6" i="70"/>
  <c r="B7" i="70"/>
  <c r="B8" i="70"/>
  <c r="B9" i="70"/>
  <c r="B10" i="70"/>
  <c r="B11" i="70"/>
  <c r="B12" i="70"/>
  <c r="B13" i="70"/>
  <c r="B14" i="70"/>
  <c r="B15" i="70"/>
  <c r="B16" i="70"/>
  <c r="B2" i="70"/>
  <c r="B3" i="69"/>
  <c r="B4" i="69"/>
  <c r="B5" i="69"/>
  <c r="B6" i="69"/>
  <c r="B7" i="69"/>
  <c r="B8" i="69"/>
  <c r="B9" i="69"/>
  <c r="B10" i="69"/>
  <c r="B11" i="69"/>
  <c r="B12" i="69"/>
  <c r="B13" i="69"/>
  <c r="B14" i="69"/>
  <c r="B2" i="69"/>
  <c r="B3" i="73"/>
  <c r="B4" i="73"/>
  <c r="B5" i="73"/>
  <c r="B6" i="73"/>
  <c r="B7" i="73"/>
  <c r="B8" i="73"/>
  <c r="B9" i="73"/>
  <c r="B10" i="73"/>
  <c r="B2" i="73"/>
  <c r="B4" i="64"/>
  <c r="B5" i="64"/>
  <c r="B6" i="64"/>
  <c r="B7" i="64"/>
  <c r="B2" i="64"/>
  <c r="B3" i="64"/>
  <c r="B7" i="68"/>
  <c r="B8" i="68"/>
  <c r="B9" i="68"/>
  <c r="B10" i="68"/>
  <c r="B11" i="68"/>
  <c r="B12" i="68"/>
  <c r="B13" i="68"/>
  <c r="B2" i="68"/>
  <c r="B3" i="68"/>
  <c r="B4" i="68"/>
  <c r="B5" i="68"/>
  <c r="B6" i="68"/>
  <c r="B3" i="67"/>
  <c r="B4" i="67"/>
  <c r="B5" i="67"/>
  <c r="B6" i="67"/>
  <c r="B7" i="67"/>
  <c r="B8" i="67"/>
  <c r="B9" i="67"/>
  <c r="B10" i="67"/>
  <c r="B11" i="67"/>
  <c r="B12" i="67"/>
  <c r="B13" i="67"/>
  <c r="B2" i="67"/>
  <c r="B3" i="63"/>
  <c r="B4" i="63"/>
  <c r="B5" i="63"/>
  <c r="B6" i="63"/>
  <c r="B7" i="63"/>
  <c r="B8" i="63"/>
  <c r="B9" i="63"/>
  <c r="B10" i="63"/>
  <c r="B11" i="63"/>
  <c r="B12" i="63"/>
  <c r="B13" i="63"/>
  <c r="B2" i="63"/>
  <c r="B3" i="66"/>
  <c r="B4" i="66"/>
  <c r="B5" i="66"/>
  <c r="B6" i="66"/>
  <c r="B7" i="66"/>
  <c r="B8" i="66"/>
  <c r="B9" i="66"/>
  <c r="B10" i="66"/>
  <c r="B11" i="66"/>
  <c r="B12" i="66"/>
  <c r="B13" i="66"/>
  <c r="B2" i="66"/>
  <c r="B3" i="65"/>
  <c r="B4" i="65"/>
  <c r="B5" i="65"/>
  <c r="B6" i="65"/>
  <c r="B7" i="65"/>
  <c r="B8" i="65"/>
  <c r="B9" i="65"/>
  <c r="B10" i="65"/>
  <c r="B11" i="65"/>
  <c r="B12" i="65"/>
  <c r="B13" i="65"/>
  <c r="B14" i="65"/>
  <c r="B15" i="65"/>
  <c r="B16" i="65"/>
  <c r="B2" i="65"/>
  <c r="B3" i="62"/>
  <c r="B4" i="62"/>
  <c r="B5" i="62"/>
  <c r="B6" i="62"/>
  <c r="B7" i="62"/>
  <c r="B8" i="62"/>
  <c r="B9" i="62"/>
  <c r="B10" i="62"/>
  <c r="B11" i="62"/>
  <c r="B12" i="62"/>
  <c r="B13" i="62"/>
  <c r="B14" i="62"/>
  <c r="B15" i="62"/>
  <c r="B2" i="62"/>
  <c r="B3" i="61"/>
  <c r="B4" i="61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2" i="61"/>
  <c r="B3" i="60"/>
  <c r="B4" i="60"/>
  <c r="B5" i="60"/>
  <c r="B6" i="60"/>
  <c r="B7" i="60"/>
  <c r="B8" i="60"/>
  <c r="B9" i="60"/>
  <c r="B10" i="60"/>
  <c r="B11" i="60"/>
  <c r="B12" i="60"/>
  <c r="B13" i="60"/>
  <c r="B14" i="60"/>
  <c r="B2" i="60"/>
  <c r="B3" i="59"/>
  <c r="B4" i="59"/>
  <c r="B5" i="59"/>
  <c r="B6" i="59"/>
  <c r="B7" i="59"/>
  <c r="B8" i="59"/>
  <c r="B9" i="59"/>
  <c r="B10" i="59"/>
  <c r="B11" i="59"/>
  <c r="B12" i="59"/>
  <c r="B13" i="59"/>
  <c r="B14" i="59"/>
  <c r="B2" i="59"/>
  <c r="B3" i="58"/>
  <c r="B4" i="58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" i="58"/>
  <c r="B3" i="57"/>
  <c r="B4" i="57"/>
  <c r="B5" i="57"/>
  <c r="B6" i="57"/>
  <c r="B7" i="57"/>
  <c r="B8" i="57"/>
  <c r="B9" i="57"/>
  <c r="B10" i="57"/>
  <c r="B11" i="57"/>
  <c r="B12" i="57"/>
  <c r="B13" i="57"/>
  <c r="B14" i="57"/>
  <c r="B15" i="57"/>
  <c r="B16" i="57"/>
  <c r="B17" i="57"/>
  <c r="B18" i="57"/>
  <c r="B19" i="57"/>
  <c r="B20" i="57"/>
  <c r="B21" i="57"/>
  <c r="B2" i="57"/>
  <c r="B3" i="56"/>
  <c r="B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" i="56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" i="55"/>
  <c r="B3" i="54"/>
  <c r="B4" i="54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2" i="54"/>
  <c r="B3" i="53"/>
  <c r="B4" i="53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18" i="53"/>
  <c r="B19" i="53"/>
  <c r="B20" i="53"/>
  <c r="B21" i="53"/>
  <c r="B2" i="53"/>
  <c r="B3" i="52"/>
  <c r="B4" i="52"/>
  <c r="B5" i="52"/>
  <c r="B6" i="52"/>
  <c r="B7" i="52"/>
  <c r="B8" i="52"/>
  <c r="B9" i="52"/>
  <c r="B10" i="52"/>
  <c r="B11" i="52"/>
  <c r="B12" i="52"/>
  <c r="B13" i="52"/>
  <c r="B14" i="52"/>
  <c r="B15" i="52"/>
  <c r="B16" i="52"/>
  <c r="B17" i="52"/>
  <c r="B18" i="52"/>
  <c r="B19" i="52"/>
  <c r="B2" i="52"/>
  <c r="B3" i="51"/>
  <c r="B4" i="51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" i="51"/>
  <c r="B3" i="50"/>
  <c r="B4" i="50"/>
  <c r="B5" i="50"/>
  <c r="B6" i="50"/>
  <c r="B7" i="50"/>
  <c r="B2" i="50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2" i="4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2" i="48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2" i="47"/>
  <c r="B3" i="46"/>
  <c r="B4" i="46"/>
  <c r="B5" i="46"/>
  <c r="B6" i="46"/>
  <c r="B7" i="46"/>
  <c r="B8" i="46"/>
  <c r="B9" i="46"/>
  <c r="B10" i="46"/>
  <c r="B11" i="46"/>
  <c r="B12" i="46"/>
  <c r="B13" i="46"/>
  <c r="B14" i="46"/>
  <c r="B15" i="46"/>
  <c r="B16" i="46"/>
  <c r="B2" i="46"/>
  <c r="B3" i="45"/>
  <c r="B4" i="45"/>
  <c r="B5" i="45"/>
  <c r="B6" i="45"/>
  <c r="B7" i="45"/>
  <c r="B8" i="45"/>
  <c r="B9" i="45"/>
  <c r="B10" i="45"/>
  <c r="B2" i="45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2" i="44"/>
  <c r="B3" i="43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2" i="43"/>
  <c r="B3" i="42"/>
  <c r="B4" i="42"/>
  <c r="B5" i="42"/>
  <c r="B6" i="42"/>
  <c r="B7" i="42"/>
  <c r="B8" i="42"/>
  <c r="B9" i="42"/>
  <c r="B10" i="42"/>
  <c r="B2" i="42"/>
  <c r="B3" i="41"/>
  <c r="B4" i="41"/>
  <c r="B5" i="41"/>
  <c r="B6" i="41"/>
  <c r="B7" i="41"/>
  <c r="B8" i="41"/>
  <c r="B9" i="41"/>
  <c r="B10" i="41"/>
  <c r="B2" i="41"/>
  <c r="B2" i="40"/>
  <c r="B4" i="40"/>
  <c r="B5" i="40"/>
  <c r="B6" i="40"/>
  <c r="B7" i="40"/>
  <c r="B3" i="40"/>
  <c r="B3" i="39"/>
  <c r="B4" i="39"/>
  <c r="B5" i="39"/>
  <c r="B6" i="39"/>
  <c r="B7" i="39"/>
  <c r="B8" i="39"/>
  <c r="B9" i="39"/>
  <c r="B10" i="39"/>
  <c r="B11" i="39"/>
  <c r="B12" i="39"/>
  <c r="B13" i="39"/>
  <c r="B14" i="39"/>
  <c r="B2" i="39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2" i="38"/>
  <c r="B3" i="37"/>
  <c r="B4" i="37"/>
  <c r="B5" i="37"/>
  <c r="B6" i="37"/>
  <c r="B7" i="37"/>
  <c r="B8" i="37"/>
  <c r="B9" i="37"/>
  <c r="B10" i="37"/>
  <c r="B11" i="37"/>
  <c r="B12" i="37"/>
  <c r="B13" i="37"/>
  <c r="B2" i="37"/>
  <c r="B3" i="36"/>
  <c r="B4" i="36"/>
  <c r="B5" i="36"/>
  <c r="B6" i="36"/>
  <c r="B7" i="36"/>
  <c r="B8" i="36"/>
  <c r="B9" i="36"/>
  <c r="B10" i="36"/>
  <c r="B11" i="36"/>
  <c r="B12" i="36"/>
  <c r="B13" i="36"/>
  <c r="B2" i="36"/>
  <c r="B32" i="152"/>
  <c r="B31" i="152"/>
  <c r="B30" i="152"/>
  <c r="B29" i="152"/>
  <c r="B28" i="152"/>
  <c r="B27" i="152"/>
  <c r="B26" i="152"/>
  <c r="B25" i="152"/>
  <c r="B24" i="152"/>
  <c r="B23" i="152"/>
  <c r="B22" i="152"/>
  <c r="B21" i="152"/>
  <c r="B20" i="152"/>
  <c r="B19" i="152"/>
  <c r="B18" i="152"/>
  <c r="B17" i="152"/>
  <c r="B16" i="152"/>
  <c r="B15" i="152"/>
  <c r="B14" i="152"/>
  <c r="B13" i="152"/>
  <c r="B12" i="152"/>
  <c r="B11" i="152"/>
  <c r="B10" i="152"/>
  <c r="B9" i="152"/>
  <c r="B8" i="152"/>
  <c r="B7" i="152"/>
  <c r="B6" i="152"/>
  <c r="B5" i="152"/>
  <c r="B4" i="152"/>
  <c r="B3" i="152"/>
  <c r="B2" i="152"/>
  <c r="B32" i="151"/>
  <c r="B31" i="151"/>
  <c r="B30" i="151"/>
  <c r="B29" i="151"/>
  <c r="B28" i="151"/>
  <c r="B27" i="151"/>
  <c r="B26" i="151"/>
  <c r="B25" i="151"/>
  <c r="B24" i="151"/>
  <c r="B23" i="151"/>
  <c r="B22" i="151"/>
  <c r="B21" i="151"/>
  <c r="B20" i="151"/>
  <c r="B19" i="151"/>
  <c r="B18" i="151"/>
  <c r="B17" i="151"/>
  <c r="B16" i="151"/>
  <c r="B15" i="151"/>
  <c r="B14" i="151"/>
  <c r="B13" i="151"/>
  <c r="B12" i="151"/>
  <c r="B11" i="151"/>
  <c r="B10" i="151"/>
  <c r="B9" i="151"/>
  <c r="B8" i="151"/>
  <c r="B7" i="151"/>
  <c r="B6" i="151"/>
  <c r="B5" i="151"/>
  <c r="B4" i="151"/>
  <c r="B3" i="151"/>
  <c r="B2" i="151"/>
  <c r="B31" i="150"/>
  <c r="B30" i="150"/>
  <c r="B29" i="150"/>
  <c r="B28" i="150"/>
  <c r="B27" i="150"/>
  <c r="B26" i="150"/>
  <c r="B25" i="150"/>
  <c r="B24" i="150"/>
  <c r="B23" i="150"/>
  <c r="B22" i="150"/>
  <c r="B21" i="150"/>
  <c r="B20" i="150"/>
  <c r="B19" i="150"/>
  <c r="B18" i="150"/>
  <c r="B17" i="150"/>
  <c r="B16" i="150"/>
  <c r="B15" i="150"/>
  <c r="B14" i="150"/>
  <c r="B13" i="150"/>
  <c r="B12" i="150"/>
  <c r="B11" i="150"/>
  <c r="B10" i="150"/>
  <c r="B9" i="150"/>
  <c r="B8" i="150"/>
  <c r="B7" i="150"/>
  <c r="B6" i="150"/>
  <c r="B5" i="150"/>
  <c r="B4" i="150"/>
  <c r="B3" i="150"/>
  <c r="B2" i="150"/>
  <c r="B31" i="149"/>
  <c r="B30" i="149"/>
  <c r="B29" i="149"/>
  <c r="B28" i="149"/>
  <c r="B27" i="149"/>
  <c r="B26" i="149"/>
  <c r="B25" i="149"/>
  <c r="B24" i="149"/>
  <c r="B23" i="149"/>
  <c r="B22" i="149"/>
  <c r="B21" i="149"/>
  <c r="B20" i="149"/>
  <c r="B19" i="149"/>
  <c r="B18" i="149"/>
  <c r="B17" i="149"/>
  <c r="B16" i="149"/>
  <c r="B15" i="149"/>
  <c r="B14" i="149"/>
  <c r="B13" i="149"/>
  <c r="B12" i="149"/>
  <c r="B11" i="149"/>
  <c r="B10" i="149"/>
  <c r="B9" i="149"/>
  <c r="B8" i="149"/>
  <c r="B7" i="149"/>
  <c r="B6" i="149"/>
  <c r="B5" i="149"/>
  <c r="B4" i="149"/>
  <c r="B3" i="149"/>
  <c r="B2" i="149"/>
  <c r="B31" i="148"/>
  <c r="B30" i="148"/>
  <c r="B29" i="148"/>
  <c r="B28" i="148"/>
  <c r="B27" i="148"/>
  <c r="B26" i="148"/>
  <c r="B25" i="148"/>
  <c r="B24" i="148"/>
  <c r="B23" i="148"/>
  <c r="B22" i="148"/>
  <c r="B21" i="148"/>
  <c r="B20" i="148"/>
  <c r="B19" i="148"/>
  <c r="B18" i="148"/>
  <c r="B17" i="148"/>
  <c r="B16" i="148"/>
  <c r="B15" i="148"/>
  <c r="B14" i="148"/>
  <c r="B13" i="148"/>
  <c r="B12" i="148"/>
  <c r="B11" i="148"/>
  <c r="B10" i="148"/>
  <c r="B9" i="148"/>
  <c r="B8" i="148"/>
  <c r="B7" i="148"/>
  <c r="B6" i="148"/>
  <c r="B5" i="148"/>
  <c r="B4" i="148"/>
  <c r="B3" i="148"/>
  <c r="B2" i="148"/>
  <c r="B16" i="145"/>
  <c r="B15" i="145"/>
  <c r="B14" i="145"/>
  <c r="B11" i="145"/>
  <c r="B9" i="145"/>
  <c r="B6" i="145"/>
  <c r="B4" i="145"/>
  <c r="B31" i="145"/>
  <c r="B30" i="145"/>
  <c r="B29" i="145"/>
  <c r="B28" i="145"/>
  <c r="B27" i="145"/>
  <c r="B26" i="145"/>
  <c r="B25" i="145"/>
  <c r="B24" i="145"/>
  <c r="B23" i="145"/>
  <c r="B22" i="145"/>
  <c r="B21" i="145"/>
  <c r="B20" i="145"/>
  <c r="B19" i="145"/>
  <c r="B18" i="145"/>
  <c r="B17" i="145"/>
  <c r="B13" i="145"/>
  <c r="B12" i="145"/>
  <c r="B10" i="145"/>
  <c r="B8" i="145"/>
  <c r="B7" i="145"/>
  <c r="B5" i="145"/>
  <c r="B3" i="145"/>
  <c r="B2" i="145"/>
  <c r="B31" i="144"/>
  <c r="B30" i="144"/>
  <c r="B29" i="144"/>
  <c r="B28" i="144"/>
  <c r="B27" i="144"/>
  <c r="B26" i="144"/>
  <c r="B25" i="144"/>
  <c r="B24" i="144"/>
  <c r="B23" i="144"/>
  <c r="B22" i="144"/>
  <c r="B21" i="144"/>
  <c r="B20" i="144"/>
  <c r="B19" i="144"/>
  <c r="B18" i="144"/>
  <c r="B17" i="144"/>
  <c r="B16" i="144"/>
  <c r="B15" i="144"/>
  <c r="B14" i="144"/>
  <c r="B13" i="144"/>
  <c r="B12" i="144"/>
  <c r="B11" i="144"/>
  <c r="B10" i="144"/>
  <c r="B9" i="144"/>
  <c r="B8" i="144"/>
  <c r="B7" i="144"/>
  <c r="B6" i="144"/>
  <c r="B5" i="144"/>
  <c r="B4" i="144"/>
  <c r="B3" i="144"/>
  <c r="B2" i="144"/>
  <c r="B31" i="143"/>
  <c r="B30" i="143"/>
  <c r="B29" i="143"/>
  <c r="B28" i="143"/>
  <c r="B27" i="143"/>
  <c r="B26" i="143"/>
  <c r="B25" i="143"/>
  <c r="B24" i="143"/>
  <c r="B23" i="143"/>
  <c r="B22" i="143"/>
  <c r="B21" i="143"/>
  <c r="B20" i="143"/>
  <c r="B19" i="143"/>
  <c r="B18" i="143"/>
  <c r="B17" i="143"/>
  <c r="B16" i="143"/>
  <c r="B15" i="143"/>
  <c r="B14" i="143"/>
  <c r="B13" i="143"/>
  <c r="B12" i="143"/>
  <c r="B11" i="143"/>
  <c r="B10" i="143"/>
  <c r="B9" i="143"/>
  <c r="B8" i="143"/>
  <c r="B7" i="143"/>
  <c r="B6" i="143"/>
  <c r="B5" i="143"/>
  <c r="B4" i="143"/>
  <c r="B3" i="143"/>
  <c r="B2" i="143"/>
  <c r="B15" i="142"/>
  <c r="B5" i="142"/>
  <c r="B31" i="142"/>
  <c r="B30" i="142"/>
  <c r="B29" i="142"/>
  <c r="B28" i="142"/>
  <c r="B27" i="142"/>
  <c r="B26" i="142"/>
  <c r="B25" i="142"/>
  <c r="B24" i="142"/>
  <c r="B23" i="142"/>
  <c r="B22" i="142"/>
  <c r="B21" i="142"/>
  <c r="B20" i="142"/>
  <c r="B19" i="142"/>
  <c r="B18" i="142"/>
  <c r="B17" i="142"/>
  <c r="B16" i="142"/>
  <c r="B14" i="142"/>
  <c r="B13" i="142"/>
  <c r="B12" i="142"/>
  <c r="B11" i="142"/>
  <c r="B10" i="142"/>
  <c r="B9" i="142"/>
  <c r="B8" i="142"/>
  <c r="B7" i="142"/>
  <c r="B6" i="142"/>
  <c r="B4" i="142"/>
  <c r="B3" i="142"/>
  <c r="B2" i="142"/>
  <c r="B29" i="141"/>
  <c r="B28" i="141"/>
  <c r="B27" i="141"/>
  <c r="B26" i="141"/>
  <c r="B25" i="141"/>
  <c r="B24" i="141"/>
  <c r="B23" i="141"/>
  <c r="B22" i="141"/>
  <c r="B21" i="141"/>
  <c r="B20" i="141"/>
  <c r="B19" i="141"/>
  <c r="B18" i="141"/>
  <c r="B17" i="141"/>
  <c r="B16" i="141"/>
  <c r="B15" i="141"/>
  <c r="B14" i="141"/>
  <c r="B13" i="141"/>
  <c r="B12" i="141"/>
  <c r="B11" i="141"/>
  <c r="B10" i="141"/>
  <c r="B9" i="141"/>
  <c r="B8" i="141"/>
  <c r="B7" i="141"/>
  <c r="B6" i="141"/>
  <c r="B5" i="141"/>
  <c r="B4" i="141"/>
  <c r="B3" i="141"/>
  <c r="B2" i="141"/>
  <c r="B27" i="140"/>
  <c r="B29" i="140"/>
  <c r="B28" i="140"/>
  <c r="B26" i="140"/>
  <c r="B25" i="140"/>
  <c r="B24" i="140"/>
  <c r="B23" i="140"/>
  <c r="B22" i="140"/>
  <c r="B21" i="140"/>
  <c r="B20" i="140"/>
  <c r="B19" i="140"/>
  <c r="B18" i="140"/>
  <c r="B17" i="140"/>
  <c r="B16" i="140"/>
  <c r="B15" i="140"/>
  <c r="B14" i="140"/>
  <c r="B13" i="140"/>
  <c r="B12" i="140"/>
  <c r="B11" i="140"/>
  <c r="B10" i="140"/>
  <c r="B9" i="140"/>
  <c r="B8" i="140"/>
  <c r="B7" i="140"/>
  <c r="B6" i="140"/>
  <c r="B5" i="140"/>
  <c r="B4" i="140"/>
  <c r="B3" i="140"/>
  <c r="B2" i="140"/>
  <c r="B20" i="139"/>
  <c r="B8" i="139"/>
  <c r="B9" i="139"/>
  <c r="B29" i="139"/>
  <c r="B28" i="139"/>
  <c r="B27" i="139"/>
  <c r="B21" i="139"/>
  <c r="B26" i="139"/>
  <c r="B25" i="139"/>
  <c r="B24" i="139"/>
  <c r="B23" i="139"/>
  <c r="B22" i="139"/>
  <c r="B19" i="139"/>
  <c r="B18" i="139"/>
  <c r="B17" i="139"/>
  <c r="B16" i="139"/>
  <c r="B15" i="139"/>
  <c r="B14" i="139"/>
  <c r="B11" i="139"/>
  <c r="B10" i="139"/>
  <c r="B12" i="139"/>
  <c r="B13" i="139"/>
  <c r="B7" i="139"/>
  <c r="B6" i="139"/>
  <c r="B5" i="139"/>
  <c r="B4" i="139"/>
  <c r="B3" i="139"/>
  <c r="B2" i="139"/>
  <c r="B7" i="138"/>
  <c r="B6" i="138"/>
  <c r="B5" i="138"/>
  <c r="B4" i="138"/>
  <c r="B3" i="138"/>
  <c r="B2" i="138"/>
  <c r="B7" i="137"/>
  <c r="B6" i="137"/>
  <c r="B8" i="137"/>
  <c r="B5" i="137"/>
  <c r="B4" i="137"/>
  <c r="B3" i="137"/>
  <c r="B2" i="137"/>
  <c r="B7" i="136"/>
  <c r="B6" i="136"/>
  <c r="B5" i="136"/>
  <c r="B4" i="136"/>
  <c r="B3" i="136"/>
  <c r="B2" i="136"/>
  <c r="B3" i="135"/>
  <c r="B8" i="135"/>
  <c r="B7" i="135"/>
  <c r="B6" i="135"/>
  <c r="B5" i="135"/>
  <c r="B4" i="135"/>
  <c r="B2" i="135"/>
  <c r="B7" i="129"/>
  <c r="B6" i="130"/>
  <c r="B10" i="134"/>
  <c r="B9" i="134"/>
  <c r="B6" i="134"/>
  <c r="B8" i="134"/>
  <c r="B7" i="134"/>
  <c r="B5" i="134"/>
  <c r="B4" i="134"/>
  <c r="B3" i="134"/>
  <c r="B2" i="134"/>
  <c r="B8" i="133"/>
  <c r="B7" i="133"/>
  <c r="B6" i="133"/>
  <c r="B5" i="133"/>
  <c r="B4" i="133"/>
  <c r="B3" i="133"/>
  <c r="B2" i="133"/>
  <c r="B3" i="132"/>
  <c r="B7" i="132"/>
  <c r="B6" i="132"/>
  <c r="B5" i="132"/>
  <c r="B4" i="132"/>
  <c r="B2" i="132"/>
  <c r="B6" i="131"/>
  <c r="B5" i="131"/>
  <c r="B4" i="131"/>
  <c r="B3" i="131"/>
  <c r="B2" i="131"/>
  <c r="B9" i="130"/>
  <c r="B11" i="130"/>
  <c r="B10" i="130"/>
  <c r="B8" i="130"/>
  <c r="B7" i="130"/>
  <c r="B5" i="130"/>
  <c r="B4" i="130"/>
  <c r="B3" i="130"/>
  <c r="B2" i="130"/>
  <c r="B10" i="129"/>
  <c r="B9" i="129"/>
  <c r="B8" i="129"/>
  <c r="B6" i="129"/>
  <c r="B5" i="129"/>
  <c r="B4" i="129"/>
  <c r="B3" i="129"/>
  <c r="B2" i="129"/>
  <c r="B8" i="128"/>
  <c r="B7" i="128"/>
  <c r="B6" i="128"/>
  <c r="B5" i="128"/>
  <c r="B4" i="128"/>
  <c r="B3" i="128"/>
  <c r="B2" i="128"/>
  <c r="B7" i="127"/>
  <c r="B3" i="127"/>
  <c r="B6" i="127"/>
  <c r="B5" i="127"/>
  <c r="B4" i="127"/>
  <c r="B2" i="127"/>
  <c r="B5" i="126"/>
  <c r="B4" i="126"/>
  <c r="B3" i="126"/>
  <c r="B2" i="126"/>
  <c r="B8" i="22"/>
  <c r="B7" i="22"/>
  <c r="B6" i="22"/>
  <c r="B5" i="22"/>
  <c r="B4" i="22"/>
  <c r="B3" i="22"/>
  <c r="B2" i="22"/>
  <c r="B5" i="97"/>
  <c r="B6" i="97"/>
  <c r="B7" i="97"/>
  <c r="B4" i="97"/>
  <c r="B3" i="97"/>
  <c r="B2" i="97"/>
  <c r="B3" i="7"/>
  <c r="B4" i="7"/>
  <c r="B5" i="7"/>
  <c r="B6" i="7"/>
  <c r="B2" i="7"/>
  <c r="B3" i="125"/>
  <c r="B7" i="125"/>
  <c r="B6" i="125"/>
  <c r="B5" i="125"/>
  <c r="B4" i="125"/>
  <c r="B2" i="125"/>
  <c r="B3" i="124"/>
  <c r="B5" i="124"/>
  <c r="B4" i="124"/>
  <c r="B2" i="124"/>
  <c r="B5" i="123"/>
  <c r="B4" i="123"/>
  <c r="B3" i="123"/>
  <c r="B2" i="123"/>
  <c r="B3" i="122"/>
  <c r="B5" i="122"/>
  <c r="B4" i="122"/>
  <c r="B2" i="122"/>
  <c r="B3" i="6"/>
  <c r="B4" i="6"/>
  <c r="B5" i="6"/>
  <c r="B6" i="6"/>
  <c r="B2" i="6"/>
  <c r="B7" i="121"/>
  <c r="B4" i="121"/>
  <c r="B6" i="121"/>
  <c r="B5" i="121"/>
  <c r="B3" i="121"/>
  <c r="B2" i="121"/>
  <c r="B5" i="120"/>
  <c r="B4" i="120"/>
  <c r="B3" i="120"/>
  <c r="B2" i="120"/>
  <c r="B6" i="119"/>
  <c r="B3" i="119"/>
  <c r="B5" i="119"/>
  <c r="B4" i="119"/>
  <c r="B2" i="119"/>
  <c r="B4" i="118"/>
  <c r="B3" i="118"/>
  <c r="B2" i="118"/>
  <c r="B4" i="117"/>
  <c r="B3" i="117"/>
  <c r="B2" i="117"/>
  <c r="B6" i="116"/>
  <c r="B7" i="116"/>
  <c r="B5" i="116"/>
  <c r="B4" i="116"/>
  <c r="B3" i="116"/>
  <c r="B2" i="116"/>
  <c r="B9" i="115"/>
  <c r="B8" i="115"/>
  <c r="B7" i="115"/>
  <c r="B6" i="115"/>
  <c r="B5" i="115"/>
  <c r="B4" i="115"/>
  <c r="B3" i="115"/>
  <c r="B2" i="115"/>
  <c r="B6" i="114"/>
  <c r="B5" i="114"/>
  <c r="B4" i="114"/>
  <c r="B3" i="114"/>
  <c r="B2" i="114"/>
  <c r="B8" i="113"/>
  <c r="B9" i="113"/>
  <c r="B7" i="113"/>
  <c r="B6" i="113"/>
  <c r="B5" i="113"/>
  <c r="B4" i="113"/>
  <c r="B3" i="113"/>
  <c r="B2" i="113"/>
  <c r="B3" i="82"/>
  <c r="B4" i="82"/>
  <c r="B5" i="82"/>
  <c r="B6" i="82"/>
  <c r="B7" i="82"/>
  <c r="B2" i="82"/>
  <c r="B8" i="107"/>
  <c r="B3" i="112"/>
  <c r="B4" i="112"/>
  <c r="B2" i="112"/>
  <c r="B7" i="107"/>
  <c r="B8" i="90"/>
  <c r="B7" i="90"/>
  <c r="B32" i="111"/>
  <c r="B31" i="111"/>
  <c r="B30" i="111"/>
  <c r="B29" i="111"/>
  <c r="B28" i="111"/>
  <c r="B27" i="111"/>
  <c r="B26" i="111"/>
  <c r="B25" i="111"/>
  <c r="B24" i="111"/>
  <c r="B23" i="111"/>
  <c r="B22" i="111"/>
  <c r="B21" i="111"/>
  <c r="B20" i="111"/>
  <c r="B19" i="111"/>
  <c r="B18" i="111"/>
  <c r="B17" i="111"/>
  <c r="B16" i="111"/>
  <c r="B15" i="111"/>
  <c r="B14" i="111"/>
  <c r="B13" i="111"/>
  <c r="B12" i="111"/>
  <c r="B11" i="111"/>
  <c r="B10" i="111"/>
  <c r="B9" i="111"/>
  <c r="B8" i="111"/>
  <c r="B7" i="111"/>
  <c r="B6" i="111"/>
  <c r="B5" i="111"/>
  <c r="B4" i="111"/>
  <c r="B3" i="111"/>
  <c r="B2" i="111"/>
  <c r="B32" i="110"/>
  <c r="B31" i="110"/>
  <c r="B30" i="110"/>
  <c r="B29" i="110"/>
  <c r="B28" i="110"/>
  <c r="B27" i="110"/>
  <c r="B26" i="110"/>
  <c r="B25" i="110"/>
  <c r="B24" i="110"/>
  <c r="B23" i="110"/>
  <c r="B22" i="110"/>
  <c r="B21" i="110"/>
  <c r="B20" i="110"/>
  <c r="B19" i="110"/>
  <c r="B18" i="110"/>
  <c r="B17" i="110"/>
  <c r="B16" i="110"/>
  <c r="B15" i="110"/>
  <c r="B14" i="110"/>
  <c r="B13" i="110"/>
  <c r="B12" i="110"/>
  <c r="B11" i="110"/>
  <c r="B10" i="110"/>
  <c r="B9" i="110"/>
  <c r="B8" i="110"/>
  <c r="B7" i="110"/>
  <c r="B6" i="110"/>
  <c r="B5" i="110"/>
  <c r="B4" i="110"/>
  <c r="B3" i="110"/>
  <c r="B2" i="110"/>
  <c r="B29" i="109"/>
  <c r="B28" i="109"/>
  <c r="B27" i="109"/>
  <c r="B26" i="109"/>
  <c r="B25" i="109"/>
  <c r="B24" i="109"/>
  <c r="B23" i="109"/>
  <c r="B22" i="109"/>
  <c r="B21" i="109"/>
  <c r="B20" i="109"/>
  <c r="B19" i="109"/>
  <c r="B18" i="109"/>
  <c r="B17" i="109"/>
  <c r="B16" i="109"/>
  <c r="B15" i="109"/>
  <c r="B14" i="109"/>
  <c r="B13" i="109"/>
  <c r="B12" i="109"/>
  <c r="B11" i="109"/>
  <c r="B10" i="109"/>
  <c r="B9" i="109"/>
  <c r="B8" i="109"/>
  <c r="B7" i="109"/>
  <c r="B6" i="109"/>
  <c r="B5" i="109"/>
  <c r="B4" i="109"/>
  <c r="B3" i="109"/>
  <c r="B2" i="109"/>
  <c r="B29" i="108"/>
  <c r="B28" i="108"/>
  <c r="B27" i="108"/>
  <c r="B26" i="108"/>
  <c r="B25" i="108"/>
  <c r="B24" i="108"/>
  <c r="B23" i="108"/>
  <c r="B22" i="108"/>
  <c r="B21" i="108"/>
  <c r="B20" i="108"/>
  <c r="B19" i="108"/>
  <c r="B18" i="108"/>
  <c r="B17" i="108"/>
  <c r="B16" i="108"/>
  <c r="B15" i="108"/>
  <c r="B14" i="108"/>
  <c r="B13" i="108"/>
  <c r="B12" i="108"/>
  <c r="B11" i="108"/>
  <c r="B10" i="108"/>
  <c r="B9" i="108"/>
  <c r="B8" i="108"/>
  <c r="B7" i="108"/>
  <c r="B6" i="108"/>
  <c r="B5" i="108"/>
  <c r="B4" i="108"/>
  <c r="B3" i="108"/>
  <c r="B2" i="108"/>
  <c r="B6" i="107"/>
  <c r="B5" i="107"/>
  <c r="B4" i="107"/>
  <c r="B3" i="107"/>
  <c r="B2" i="107"/>
  <c r="B5" i="106"/>
  <c r="B4" i="106"/>
  <c r="B3" i="106"/>
  <c r="B2" i="106"/>
  <c r="B3" i="91"/>
  <c r="B4" i="91"/>
  <c r="B5" i="91"/>
  <c r="B2" i="91"/>
  <c r="B3" i="92"/>
  <c r="B4" i="92"/>
  <c r="B5" i="92"/>
  <c r="B6" i="92"/>
  <c r="B7" i="92"/>
  <c r="B8" i="92"/>
  <c r="B9" i="92"/>
  <c r="B10" i="92"/>
  <c r="B11" i="92"/>
  <c r="B2" i="92"/>
  <c r="B3" i="25"/>
  <c r="B4" i="25"/>
  <c r="B5" i="25"/>
  <c r="B6" i="25"/>
  <c r="B7" i="25"/>
  <c r="B8" i="25"/>
  <c r="B9" i="25"/>
  <c r="B2" i="25"/>
  <c r="B3" i="24"/>
  <c r="B4" i="24"/>
  <c r="B5" i="24"/>
  <c r="B6" i="24"/>
  <c r="B7" i="24"/>
  <c r="B8" i="24"/>
  <c r="B9" i="24"/>
  <c r="B2" i="24"/>
  <c r="B3" i="90"/>
  <c r="B4" i="90"/>
  <c r="B5" i="90"/>
  <c r="B6" i="90"/>
  <c r="B2" i="90"/>
  <c r="B3" i="23"/>
  <c r="B4" i="23"/>
  <c r="B5" i="23"/>
  <c r="B2" i="23"/>
  <c r="B3" i="83"/>
  <c r="B4" i="83"/>
  <c r="B5" i="83"/>
  <c r="B6" i="83"/>
  <c r="B7" i="83"/>
  <c r="B8" i="83"/>
  <c r="B9" i="83"/>
  <c r="B10" i="83"/>
  <c r="B11" i="83"/>
  <c r="B12" i="83"/>
  <c r="B13" i="83"/>
  <c r="B2" i="83"/>
  <c r="B32" i="80"/>
  <c r="B3" i="80"/>
  <c r="B4" i="80"/>
  <c r="B5" i="80"/>
  <c r="B6" i="80"/>
  <c r="B7" i="80"/>
  <c r="B8" i="80"/>
  <c r="B9" i="80"/>
  <c r="B10" i="80"/>
  <c r="B11" i="80"/>
  <c r="B12" i="80"/>
  <c r="B13" i="80"/>
  <c r="B14" i="80"/>
  <c r="B15" i="80"/>
  <c r="B16" i="80"/>
  <c r="B17" i="80"/>
  <c r="B18" i="80"/>
  <c r="B19" i="80"/>
  <c r="B20" i="80"/>
  <c r="B21" i="80"/>
  <c r="B22" i="80"/>
  <c r="B23" i="80"/>
  <c r="B24" i="80"/>
  <c r="B25" i="80"/>
  <c r="B26" i="80"/>
  <c r="B27" i="80"/>
  <c r="B28" i="80"/>
  <c r="B29" i="80"/>
  <c r="B30" i="80"/>
  <c r="B31" i="80"/>
  <c r="B2" i="80"/>
  <c r="B28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9" i="14"/>
  <c r="B2" i="14"/>
  <c r="B3" i="96"/>
  <c r="B4" i="96"/>
  <c r="B5" i="96"/>
  <c r="B6" i="96"/>
  <c r="B7" i="96"/>
  <c r="B2" i="96"/>
  <c r="B3" i="95"/>
  <c r="B4" i="95"/>
  <c r="B5" i="95"/>
  <c r="B6" i="95"/>
  <c r="B2" i="95"/>
  <c r="B3" i="86"/>
  <c r="B4" i="86"/>
  <c r="B5" i="86"/>
  <c r="B6" i="86"/>
  <c r="B7" i="86"/>
  <c r="B8" i="86"/>
  <c r="B2" i="86"/>
  <c r="B5" i="94"/>
  <c r="B3" i="94"/>
  <c r="B4" i="94"/>
  <c r="B6" i="94"/>
  <c r="B7" i="94"/>
  <c r="B2" i="94"/>
  <c r="B3" i="85"/>
  <c r="B4" i="85"/>
  <c r="B5" i="85"/>
  <c r="B6" i="85"/>
  <c r="B2" i="85"/>
  <c r="B3" i="21"/>
  <c r="B4" i="21"/>
  <c r="B5" i="21"/>
  <c r="B2" i="21"/>
  <c r="B6" i="105"/>
  <c r="B3" i="105"/>
  <c r="B5" i="105"/>
  <c r="B4" i="105"/>
  <c r="B2" i="105"/>
  <c r="B3" i="81"/>
  <c r="B4" i="81"/>
  <c r="B2" i="81"/>
  <c r="B6" i="104"/>
  <c r="B5" i="104"/>
  <c r="B4" i="104"/>
  <c r="B3" i="104"/>
  <c r="B2" i="104"/>
  <c r="B3" i="103"/>
  <c r="B4" i="103"/>
  <c r="B5" i="103"/>
  <c r="B2" i="103"/>
  <c r="B3" i="20"/>
  <c r="B4" i="20"/>
  <c r="B5" i="20"/>
  <c r="B6" i="20"/>
  <c r="B2" i="20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2" i="16"/>
  <c r="B15" i="35"/>
  <c r="B3" i="35"/>
  <c r="B4" i="35"/>
  <c r="B5" i="35"/>
  <c r="B6" i="35"/>
  <c r="B7" i="35"/>
  <c r="B8" i="35"/>
  <c r="B9" i="35"/>
  <c r="B10" i="35"/>
  <c r="B11" i="35"/>
  <c r="B12" i="35"/>
  <c r="B13" i="35"/>
  <c r="B14" i="35"/>
  <c r="B16" i="35"/>
  <c r="B17" i="35"/>
  <c r="B2" i="35"/>
  <c r="B3" i="34"/>
  <c r="B4" i="34"/>
  <c r="B5" i="34"/>
  <c r="B6" i="34"/>
  <c r="B7" i="34"/>
  <c r="B8" i="34"/>
  <c r="B9" i="34"/>
  <c r="B10" i="34"/>
  <c r="B11" i="34"/>
  <c r="B12" i="34"/>
  <c r="B13" i="34"/>
  <c r="B2" i="34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" i="33"/>
  <c r="B3" i="32"/>
  <c r="B4" i="32"/>
  <c r="B5" i="32"/>
  <c r="B6" i="32"/>
  <c r="B7" i="32"/>
  <c r="B8" i="32"/>
  <c r="B9" i="32"/>
  <c r="B10" i="32"/>
  <c r="B11" i="32"/>
  <c r="B12" i="32"/>
  <c r="B13" i="32"/>
  <c r="B14" i="32"/>
  <c r="B2" i="32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2" i="31"/>
  <c r="B3" i="30"/>
  <c r="B4" i="30"/>
  <c r="B5" i="30"/>
  <c r="B6" i="30"/>
  <c r="B7" i="30"/>
  <c r="B8" i="30"/>
  <c r="B9" i="30"/>
  <c r="B10" i="30"/>
  <c r="B11" i="30"/>
  <c r="B12" i="30"/>
  <c r="B13" i="30"/>
  <c r="B14" i="30"/>
  <c r="B2" i="30"/>
  <c r="B3" i="29"/>
  <c r="B4" i="29"/>
  <c r="B5" i="29"/>
  <c r="B6" i="29"/>
  <c r="B7" i="29"/>
  <c r="B2" i="29"/>
  <c r="B3" i="93"/>
  <c r="B4" i="93"/>
  <c r="B5" i="93"/>
  <c r="B6" i="93"/>
  <c r="B7" i="93"/>
  <c r="B8" i="93"/>
  <c r="B9" i="93"/>
  <c r="B10" i="93"/>
  <c r="B11" i="93"/>
  <c r="B12" i="93"/>
  <c r="B13" i="93"/>
  <c r="B14" i="93"/>
  <c r="B15" i="93"/>
  <c r="B16" i="93"/>
  <c r="B2" i="93"/>
  <c r="B4" i="13"/>
  <c r="B3" i="13"/>
  <c r="B5" i="13"/>
  <c r="B6" i="13"/>
  <c r="B7" i="13"/>
  <c r="B8" i="13"/>
  <c r="B9" i="13"/>
  <c r="B10" i="13"/>
  <c r="B11" i="13"/>
  <c r="B12" i="13"/>
  <c r="B13" i="13"/>
  <c r="B2" i="13"/>
  <c r="B3" i="12"/>
  <c r="B4" i="12"/>
  <c r="B5" i="12"/>
  <c r="B6" i="12"/>
  <c r="B7" i="12"/>
  <c r="B8" i="12"/>
  <c r="B9" i="12"/>
  <c r="B10" i="12"/>
  <c r="B2" i="12"/>
  <c r="B3" i="11"/>
  <c r="B4" i="11"/>
  <c r="B5" i="11"/>
  <c r="B6" i="11"/>
  <c r="B7" i="11"/>
  <c r="B2" i="11"/>
  <c r="B6" i="10"/>
  <c r="B3" i="10"/>
  <c r="B4" i="10"/>
  <c r="B5" i="10"/>
  <c r="B7" i="10"/>
  <c r="B8" i="10"/>
  <c r="B9" i="10"/>
  <c r="B10" i="10"/>
  <c r="B2" i="10"/>
  <c r="B3" i="9"/>
  <c r="B4" i="9"/>
  <c r="B5" i="9"/>
  <c r="B6" i="9"/>
  <c r="B7" i="9"/>
  <c r="B8" i="9"/>
  <c r="B9" i="9"/>
  <c r="B10" i="9"/>
  <c r="B11" i="9"/>
  <c r="B12" i="9"/>
  <c r="B2" i="9"/>
  <c r="B6" i="8"/>
  <c r="B5" i="8"/>
  <c r="B4" i="8"/>
  <c r="B3" i="8"/>
  <c r="B2" i="8"/>
  <c r="B3" i="4"/>
  <c r="B4" i="4"/>
  <c r="B5" i="4"/>
  <c r="B6" i="4"/>
  <c r="B7" i="4"/>
  <c r="B8" i="4"/>
  <c r="B9" i="4"/>
  <c r="B2" i="4"/>
  <c r="B2" i="102"/>
  <c r="B2" i="101"/>
  <c r="B2" i="100"/>
  <c r="B3" i="84"/>
  <c r="B4" i="84"/>
  <c r="B5" i="84"/>
  <c r="B6" i="84"/>
  <c r="B7" i="84"/>
  <c r="B8" i="84"/>
  <c r="B9" i="84"/>
  <c r="B10" i="84"/>
  <c r="B11" i="84"/>
  <c r="B12" i="84"/>
  <c r="B13" i="84"/>
  <c r="B2" i="84"/>
  <c r="B2" i="3"/>
  <c r="B3" i="3"/>
  <c r="B4" i="3"/>
  <c r="B5" i="3"/>
  <c r="B6" i="3"/>
  <c r="B7" i="3"/>
  <c r="B8" i="3"/>
  <c r="B9" i="3"/>
  <c r="B2" i="19"/>
  <c r="B2" i="87"/>
  <c r="B2" i="88"/>
  <c r="B2" i="89"/>
  <c r="B2" i="18"/>
  <c r="B2" i="2"/>
  <c r="B2" i="5"/>
  <c r="F10" i="3" l="1"/>
  <c r="F2" i="1" s="1"/>
</calcChain>
</file>

<file path=xl/sharedStrings.xml><?xml version="1.0" encoding="utf-8"?>
<sst xmlns="http://schemas.openxmlformats.org/spreadsheetml/2006/main" count="7421" uniqueCount="1516">
  <si>
    <t xml:space="preserve">COD. ENEE </t>
  </si>
  <si>
    <t>Materiales</t>
  </si>
  <si>
    <t>Unidad</t>
  </si>
  <si>
    <t>C/U</t>
  </si>
  <si>
    <t>AE2</t>
  </si>
  <si>
    <t>AA1</t>
  </si>
  <si>
    <t>AR1</t>
  </si>
  <si>
    <t>EP2</t>
  </si>
  <si>
    <t>EP1</t>
  </si>
  <si>
    <t>PM2</t>
  </si>
  <si>
    <t>N°</t>
  </si>
  <si>
    <t>Clasificación</t>
  </si>
  <si>
    <t>Columna1</t>
  </si>
  <si>
    <t>Código de Estructura</t>
  </si>
  <si>
    <t>Primaria</t>
  </si>
  <si>
    <t>1F+N</t>
  </si>
  <si>
    <t>A-I-1</t>
  </si>
  <si>
    <t>Estructura Primaria una Fase en Tangente (0º - 5º)</t>
  </si>
  <si>
    <t>A-I-1V</t>
  </si>
  <si>
    <t>Estructura Primaria una Fase Voladiza en Tangente (0º - 5º)</t>
  </si>
  <si>
    <t>A-I-2</t>
  </si>
  <si>
    <t>Estructura Primaria una Fase en ángulo (5º-30º)</t>
  </si>
  <si>
    <t>A-I-2V</t>
  </si>
  <si>
    <t>Estructura Primaria una Fase Voladiza en Ángulo (0º - 5º)</t>
  </si>
  <si>
    <t>A-I-3</t>
  </si>
  <si>
    <t>Estructura Primaria una Fase de Paso Vérttical (30º -60º)</t>
  </si>
  <si>
    <t>A-I-4</t>
  </si>
  <si>
    <t xml:space="preserve">Estructura Primaria Una Fase en Remate. </t>
  </si>
  <si>
    <t>A-I-4A</t>
  </si>
  <si>
    <t>Estructura primaria una fase en remate a 180º de remate una fase existente.</t>
  </si>
  <si>
    <t>A-I-4B</t>
  </si>
  <si>
    <t>Estructura primaria una fase en remate, a 180º de remate existente de dos o tres fases</t>
  </si>
  <si>
    <t>A-I-4C</t>
  </si>
  <si>
    <t>Estructura primaria una fase en remate a 90º de línea de paso o remate existente.</t>
  </si>
  <si>
    <t>A-I-4V</t>
  </si>
  <si>
    <t>Estructura primaria una fase voladiza en remate</t>
  </si>
  <si>
    <t>A-I-5</t>
  </si>
  <si>
    <t>Estructura primaria una fase en doble remate (0º-60º).</t>
  </si>
  <si>
    <t>A-I-5V</t>
  </si>
  <si>
    <t>Estructura primaria una fase voladiza en doble remate (0º-60º)</t>
  </si>
  <si>
    <t>A-I-6</t>
  </si>
  <si>
    <t>Estructura primaria una fase en doble remate (60º-90º)</t>
  </si>
  <si>
    <t>A-I-7</t>
  </si>
  <si>
    <t>Estructura primaria una fase en tangente (0º-5º) y derivación.</t>
  </si>
  <si>
    <t>A-I-7V</t>
  </si>
  <si>
    <t>Estructura primaria una fase voladiza en tangente (0º-5º) y derivación.</t>
  </si>
  <si>
    <t>A-I-8</t>
  </si>
  <si>
    <t>Estructura primaria una fase en ángulo (5º-30º) y derivación.</t>
  </si>
  <si>
    <t>A-I-8V</t>
  </si>
  <si>
    <t>Estructura primaria una fase voladiza en ángulo (5º-30º) y derivación.</t>
  </si>
  <si>
    <t>A-I-9</t>
  </si>
  <si>
    <t>Estructura primaria una fase en doble remate (0º-60º) y derivación.</t>
  </si>
  <si>
    <t>A-I-9V</t>
  </si>
  <si>
    <t>Estructura primaria una fase voladiza en doble remate (0º-60º) y derivación.</t>
  </si>
  <si>
    <t>2F+N</t>
  </si>
  <si>
    <t>A-II-1</t>
  </si>
  <si>
    <t>Estructura Primaria dos Fases en Tangente (0º - 5º)</t>
  </si>
  <si>
    <t>A-II-IV</t>
  </si>
  <si>
    <t>Estructura Primaria dos Fases Voladiza en Tangente (0º - 5º)</t>
  </si>
  <si>
    <t>A-II-2</t>
  </si>
  <si>
    <t>Estructura Primaria dos Fases en ángulo (5º-30º)</t>
  </si>
  <si>
    <t>A-II-2V</t>
  </si>
  <si>
    <t>Estructura Primaria dos Fase Voladiza en Ángulo (0º - 5º)</t>
  </si>
  <si>
    <t>A-II-3</t>
  </si>
  <si>
    <t>Estructura Primaria dos Fases de Paso Vérttical (30º -60º)</t>
  </si>
  <si>
    <t>A-II-4</t>
  </si>
  <si>
    <t>A-II-4A</t>
  </si>
  <si>
    <t>Estructura primaria dos fases en remate a 180º de remate existente.</t>
  </si>
  <si>
    <t>A-II-4D</t>
  </si>
  <si>
    <t>Estructura primaria dos fases en remate a 90º de remate existente dos o tres fases.</t>
  </si>
  <si>
    <t>A-II-4E</t>
  </si>
  <si>
    <t>Estructura primaria dos fases en remate a 90º de línea de paso existente de dos o tres fases</t>
  </si>
  <si>
    <t>A-II-4V</t>
  </si>
  <si>
    <t>Estructura primaria dos fases voladiza en remate</t>
  </si>
  <si>
    <t>A-II-5</t>
  </si>
  <si>
    <t>Estructura primaria dos fases en doble remate (0º-60º).</t>
  </si>
  <si>
    <t>A-II-5V</t>
  </si>
  <si>
    <t>Estructura primaria dos fases voladiza en doble remate (0º-60º)</t>
  </si>
  <si>
    <t>A-II-5R</t>
  </si>
  <si>
    <t>A-II-6</t>
  </si>
  <si>
    <t>Estructura primaria dos fase en doble remate (60º-90º)</t>
  </si>
  <si>
    <t>A-II-6A</t>
  </si>
  <si>
    <t>A-II-6R</t>
  </si>
  <si>
    <t>Estructura primaria dos fase en doble remate (60º-90º) en suspensión</t>
  </si>
  <si>
    <t>A-II-7</t>
  </si>
  <si>
    <t>Estructura primaria dos fases en tangente (0º-5º) y derivación de dos fases.</t>
  </si>
  <si>
    <t>A-II-7A</t>
  </si>
  <si>
    <t>Estructura primaria dos fases en tangente (0º-5º) y derivación de una fase.</t>
  </si>
  <si>
    <t>A-II-7V</t>
  </si>
  <si>
    <t>Estructura primaria dos fases voladizas en tangente (0º-5º) y derivación de dos fases.</t>
  </si>
  <si>
    <t>A-II-7VA</t>
  </si>
  <si>
    <t>Estructura primaria dos fases voladizas en tangente (0º-5º) y derivación de una fase.</t>
  </si>
  <si>
    <t>A-II-8</t>
  </si>
  <si>
    <t>Estructura primaria dos fases en ángulo (5º-30º) y derivación de dos fases.</t>
  </si>
  <si>
    <t>A-II-8A</t>
  </si>
  <si>
    <t>Estructura primaria dos fases en ángulo (5º-30º) y derivación de una fase.</t>
  </si>
  <si>
    <t>A-II-8V</t>
  </si>
  <si>
    <t>Estructura primaria dos fases voladiza en ángulo (5º-30º) y derivación de dos fases.</t>
  </si>
  <si>
    <t>A-II-8VA</t>
  </si>
  <si>
    <t>Estructura primaria dos fases voladiza en ángulo (5º-30º) y derivación de una fase.</t>
  </si>
  <si>
    <t>A-II-9</t>
  </si>
  <si>
    <t>Estructura primaria dos fases en doble remate (0º-60º) y derivación de dos fases.</t>
  </si>
  <si>
    <t>A-II-9A</t>
  </si>
  <si>
    <t>Estructura primaria dos fases voladiza en doble remate (0º-60º) y derivación de una fase.</t>
  </si>
  <si>
    <t>A-II-9V</t>
  </si>
  <si>
    <t>Estructura primaria dos fases voladiza en doble remate (0º-60º) y derivación de dos fases.</t>
  </si>
  <si>
    <t>A-II-9VA</t>
  </si>
  <si>
    <t>3F+N</t>
  </si>
  <si>
    <t>A-III-1</t>
  </si>
  <si>
    <t>Estructura Primaria tres Fases en Tangente (0º - 5º)</t>
  </si>
  <si>
    <t>A-III-1N</t>
  </si>
  <si>
    <t xml:space="preserve">Estructura Primaria tres Fases en Tangente (0º - 5º) con neutro en la cruceta. </t>
  </si>
  <si>
    <t>A-III-1V</t>
  </si>
  <si>
    <t>Estructura Primaria tres Fases Voladiza en Tangente (0º - 5º)</t>
  </si>
  <si>
    <t>A-III-2</t>
  </si>
  <si>
    <t>Estructura Primaria tres Fases en ángulo (5º-30º)</t>
  </si>
  <si>
    <t>A-III-2N</t>
  </si>
  <si>
    <t>Estructura Primaria tres Fases en ángulo (5º-30º) con neutro en la cruceta.</t>
  </si>
  <si>
    <t>A-III-2V</t>
  </si>
  <si>
    <t>Estructura Primaria tres Fases voladiza en ángulo (5º-30º).</t>
  </si>
  <si>
    <t>A-III-3</t>
  </si>
  <si>
    <t>A-III-4</t>
  </si>
  <si>
    <t xml:space="preserve">Estructura Primaria tres Fases en Remate. </t>
  </si>
  <si>
    <t>A-III-4A</t>
  </si>
  <si>
    <t>A-III-4D</t>
  </si>
  <si>
    <t>Estructura primaria tres fases en remate a 90º de remate existente dos o tres fases.</t>
  </si>
  <si>
    <t>A-III-4E</t>
  </si>
  <si>
    <t>Estructura primaria tres fases en remate a 90º de línea de paso existente de dos o tres fases</t>
  </si>
  <si>
    <t>A-III-4N</t>
  </si>
  <si>
    <t xml:space="preserve">Estructura Primaria tres Fases en Remate con neutro en la cruceta. </t>
  </si>
  <si>
    <t>A-III-4V</t>
  </si>
  <si>
    <t>Estructura primaria tres fases voladiza en remate</t>
  </si>
  <si>
    <t>A-III-5</t>
  </si>
  <si>
    <t>Estructura primaria tres fases en doble remate (0º-60º).</t>
  </si>
  <si>
    <t>A-III-5N</t>
  </si>
  <si>
    <t xml:space="preserve">Estructura Primaria tres Fases en doble remate (0º-60º) con neutro en la cruceta. </t>
  </si>
  <si>
    <t>A-III-5R</t>
  </si>
  <si>
    <t xml:space="preserve">Estructura primaria tres fases en doble remate (0º-60º) en suspensión. </t>
  </si>
  <si>
    <t>A-III-5V</t>
  </si>
  <si>
    <t>Estructura primaria tres fases voladiza en doble remate (0º-60º)</t>
  </si>
  <si>
    <t>A-III-6</t>
  </si>
  <si>
    <t>Estructura primaria tres fase en doble remate (60º-90º)</t>
  </si>
  <si>
    <t>A-III-6A</t>
  </si>
  <si>
    <t xml:space="preserve">Estructura primaria tres fase en doble remate (60º-90º) y derivación de una fase. </t>
  </si>
  <si>
    <t>A-III-6B</t>
  </si>
  <si>
    <t xml:space="preserve">Estructura primaria tres fase en doble remate (60º-90º) y derivación de dos fases. </t>
  </si>
  <si>
    <t>A-III-6N</t>
  </si>
  <si>
    <t xml:space="preserve">Estructura primaria tres fase en doble remate (60º-90º) con neutro en la cruceta. </t>
  </si>
  <si>
    <t>A-III-6R</t>
  </si>
  <si>
    <t>Estructura primaria tres fase en doble remate (60º-90º) en suspensión.</t>
  </si>
  <si>
    <t>A-III-7</t>
  </si>
  <si>
    <t>Estructura primaria tres fases en tangente (0º-5º) y derivación de tres fases.</t>
  </si>
  <si>
    <t>A-III-7A</t>
  </si>
  <si>
    <t>Estructura primaria tres fases en tangente (0º-5º) y derivación de una fase.</t>
  </si>
  <si>
    <t>A-III-7B</t>
  </si>
  <si>
    <t>Estructura primaria tres fases en tangente (0º-5º) y derivación de dos fases.</t>
  </si>
  <si>
    <t>A-III-7V</t>
  </si>
  <si>
    <t>Estructura primaria tres fases voladizas en tangente (0º-5º) y derivación de tres fases.</t>
  </si>
  <si>
    <t>A-III-7VA</t>
  </si>
  <si>
    <t>Estructura primaria tres fases voladizas en tangente (0º-5º) y derivación de una fase.</t>
  </si>
  <si>
    <t>A-III-7VB</t>
  </si>
  <si>
    <t>Estructura primaria tres fases voladizas en tangente (0º-5º) y derivación de dos fases.</t>
  </si>
  <si>
    <t>A-III-8</t>
  </si>
  <si>
    <t>Estructura primaria tres fases en ángulo (5º-30º) y derivación de tres fases.</t>
  </si>
  <si>
    <t>A-III-8A</t>
  </si>
  <si>
    <t>Estructura primaria tres fases en ángulo (5º-30º) y derivación de una fase.</t>
  </si>
  <si>
    <t>A-III-8B</t>
  </si>
  <si>
    <t>Estructura primaria tres fases en ángulo (5º-30º) y derivación de dos fases.</t>
  </si>
  <si>
    <t>A-III-8V</t>
  </si>
  <si>
    <t>Estructura primaria tres fases voladiza en ángulo (5º-30º) y derivación de tres fases.</t>
  </si>
  <si>
    <t>A-III-8VA</t>
  </si>
  <si>
    <t>Estructura primaria tres fases voladiza en ángulo (5º-30º) y derivación de una fase.</t>
  </si>
  <si>
    <t>A-III-8VB</t>
  </si>
  <si>
    <t>Estructura primaria tres fases voladiza en ángulo (5º-30º) y derivación de dos fases.</t>
  </si>
  <si>
    <t>A-III-9</t>
  </si>
  <si>
    <t>Estructura primaria tres fases en doble remate (0º-60º) y derivación de tres fases.</t>
  </si>
  <si>
    <t>A-III-9A</t>
  </si>
  <si>
    <t>Estructura primaria tres fases en doble remate (0º-60º) y derivación de una fase.</t>
  </si>
  <si>
    <t>A-III-9B</t>
  </si>
  <si>
    <t>Estructura primaria tres fases en doble remate (0º-60º) y derivación de dos fases.</t>
  </si>
  <si>
    <t>A-III-9V</t>
  </si>
  <si>
    <t>Estructura primaria tres fases voladiza en doble remate (0º-60º) y derivación de tres fases.</t>
  </si>
  <si>
    <t>A-III-9VA</t>
  </si>
  <si>
    <t>Estructura primaria tres fases voladiza en doble remate (0º-60º) y derivación de una fase.</t>
  </si>
  <si>
    <t>A-III-9VB</t>
  </si>
  <si>
    <t>Estructura primaria tres fases voladiza en doble remate (0º-60º) y derivación de dos fase.</t>
  </si>
  <si>
    <t>Secundaria</t>
  </si>
  <si>
    <t>B-II-1</t>
  </si>
  <si>
    <t>B-II-2</t>
  </si>
  <si>
    <t>B-II-4</t>
  </si>
  <si>
    <t>B-II-4A</t>
  </si>
  <si>
    <t>B-II-4B</t>
  </si>
  <si>
    <t>B-II-4C</t>
  </si>
  <si>
    <t>B-II-4D</t>
  </si>
  <si>
    <t>B-II-4E</t>
  </si>
  <si>
    <t>B-II-4F</t>
  </si>
  <si>
    <t>B-II-5</t>
  </si>
  <si>
    <t>Estructura Secundaria dos Fase en doble Remate (0°-60°).</t>
  </si>
  <si>
    <t>B-II-6</t>
  </si>
  <si>
    <t>Estructura Secundaria dos Fase en doble Remate (60°-90°).</t>
  </si>
  <si>
    <t>B-II-6A</t>
  </si>
  <si>
    <t>Estructura Secundaria dos Fase en doble Remate (60°-90°) y remate de neutro.</t>
  </si>
  <si>
    <t>B-II-6B</t>
  </si>
  <si>
    <t>Estructura Secundaria dos Fase en doble Remate (60°-90°) y remate de neutro acerado.</t>
  </si>
  <si>
    <t>B-II-7</t>
  </si>
  <si>
    <t>Estructura Secundaria dos Fases de paso (0°-30°) y derivación al frente a 90°.</t>
  </si>
  <si>
    <t>B-II-7A</t>
  </si>
  <si>
    <t>Estructura Secundaria dos Fases de paso (0°-30°) y derivación atrás a 90°.</t>
  </si>
  <si>
    <t>B-II-8</t>
  </si>
  <si>
    <t>Estructura Secundaria dos Fases en doble paso a 90°.</t>
  </si>
  <si>
    <t>B-II-9</t>
  </si>
  <si>
    <t>Estructura Secundaria dos Fase en triple remate.</t>
  </si>
  <si>
    <t>B-III-1</t>
  </si>
  <si>
    <t>B-III-2</t>
  </si>
  <si>
    <t>B-III-4</t>
  </si>
  <si>
    <t>B-III-4A</t>
  </si>
  <si>
    <t>B-III-4B</t>
  </si>
  <si>
    <t>B-III-4C</t>
  </si>
  <si>
    <t>B-III-4D</t>
  </si>
  <si>
    <t>B-III-4E</t>
  </si>
  <si>
    <t>B-III-4F</t>
  </si>
  <si>
    <t>B-III-5</t>
  </si>
  <si>
    <t>B-III-6</t>
  </si>
  <si>
    <t>B-III-6A</t>
  </si>
  <si>
    <t>B-III-6B</t>
  </si>
  <si>
    <t>B-III-7</t>
  </si>
  <si>
    <t>B-III-7A</t>
  </si>
  <si>
    <t>B-III-8</t>
  </si>
  <si>
    <t>B-III-9</t>
  </si>
  <si>
    <t>Conexiones a tierra</t>
  </si>
  <si>
    <t>CT-G</t>
  </si>
  <si>
    <t>CT-N</t>
  </si>
  <si>
    <t>Estructura Doble Terna</t>
  </si>
  <si>
    <t>DT-III-1</t>
  </si>
  <si>
    <t>DT-III-2</t>
  </si>
  <si>
    <t>DT-III-4</t>
  </si>
  <si>
    <t>DT-III-5</t>
  </si>
  <si>
    <t>DT-III-6</t>
  </si>
  <si>
    <t>DTN-III-1</t>
  </si>
  <si>
    <t>DTN-III-2</t>
  </si>
  <si>
    <t>DTN-III-4</t>
  </si>
  <si>
    <t>DTN-III-5</t>
  </si>
  <si>
    <t>DTN-III-6</t>
  </si>
  <si>
    <t>Estructuras H</t>
  </si>
  <si>
    <t>H-II-1</t>
  </si>
  <si>
    <t>H-II-2</t>
  </si>
  <si>
    <t>H-II-4</t>
  </si>
  <si>
    <t>H-II-5</t>
  </si>
  <si>
    <t>H-III-1</t>
  </si>
  <si>
    <t>H-III-2</t>
  </si>
  <si>
    <t>H-III-4</t>
  </si>
  <si>
    <t>H-III-5</t>
  </si>
  <si>
    <t>TH-II-1</t>
  </si>
  <si>
    <t>TH-II-2</t>
  </si>
  <si>
    <t>TH-II-4</t>
  </si>
  <si>
    <t>TH-II-5</t>
  </si>
  <si>
    <t>TH-III-1</t>
  </si>
  <si>
    <t>TH-III-2</t>
  </si>
  <si>
    <t>TH-III-4</t>
  </si>
  <si>
    <t>TH-III-5</t>
  </si>
  <si>
    <t>Estructuras TM</t>
  </si>
  <si>
    <t>TM-I-1</t>
  </si>
  <si>
    <t>TM-I-2</t>
  </si>
  <si>
    <t>TM-I-3</t>
  </si>
  <si>
    <t>TM-I-4</t>
  </si>
  <si>
    <t>TM-I-5</t>
  </si>
  <si>
    <t>TM-I-6</t>
  </si>
  <si>
    <t>TM-I-7</t>
  </si>
  <si>
    <t>TM-I-8</t>
  </si>
  <si>
    <t>TM-II-1</t>
  </si>
  <si>
    <t>TM-II-2</t>
  </si>
  <si>
    <t>TM-II-3</t>
  </si>
  <si>
    <t>TM-II-4</t>
  </si>
  <si>
    <t>TM-II-5</t>
  </si>
  <si>
    <t>TM-II-6</t>
  </si>
  <si>
    <t>TM-II-7</t>
  </si>
  <si>
    <t>TM-II-8</t>
  </si>
  <si>
    <t>B-I-1</t>
  </si>
  <si>
    <t>B-I-3</t>
  </si>
  <si>
    <t>B-I-4</t>
  </si>
  <si>
    <t>B-I-4A</t>
  </si>
  <si>
    <t>B-I-4B</t>
  </si>
  <si>
    <t>B-I-4C</t>
  </si>
  <si>
    <t>B-I-4D</t>
  </si>
  <si>
    <t>B-I-4E</t>
  </si>
  <si>
    <t>B-I-4F</t>
  </si>
  <si>
    <t>B-I-4G</t>
  </si>
  <si>
    <t>B-I-5</t>
  </si>
  <si>
    <t>B-I-5A</t>
  </si>
  <si>
    <t>B-I-5B</t>
  </si>
  <si>
    <t>B-I-6</t>
  </si>
  <si>
    <t>B-I-6A</t>
  </si>
  <si>
    <t>B-I-6B</t>
  </si>
  <si>
    <t>B-I-7</t>
  </si>
  <si>
    <t>B-I-7A</t>
  </si>
  <si>
    <t>B-I-7B</t>
  </si>
  <si>
    <t>B-I-7C</t>
  </si>
  <si>
    <t>B-I-8</t>
  </si>
  <si>
    <t>G-I-1</t>
  </si>
  <si>
    <t>G-I-4</t>
  </si>
  <si>
    <t>G-I-5</t>
  </si>
  <si>
    <t>G-I-6</t>
  </si>
  <si>
    <t>G-I-7</t>
  </si>
  <si>
    <t>GB-I-1</t>
  </si>
  <si>
    <t>GB-I-1A</t>
  </si>
  <si>
    <t>GB-I-4</t>
  </si>
  <si>
    <t>GB-I-5</t>
  </si>
  <si>
    <t>GB-I-6</t>
  </si>
  <si>
    <t>GB-I-7</t>
  </si>
  <si>
    <t>EM-SEC</t>
  </si>
  <si>
    <t>EM-TC</t>
  </si>
  <si>
    <t>SC-EM</t>
  </si>
  <si>
    <t>SP-EM</t>
  </si>
  <si>
    <t>Retenidas</t>
  </si>
  <si>
    <t>R-1</t>
  </si>
  <si>
    <t>R-2</t>
  </si>
  <si>
    <t>R-3</t>
  </si>
  <si>
    <t>R-3C</t>
  </si>
  <si>
    <t>R-3V</t>
  </si>
  <si>
    <t>R-4</t>
  </si>
  <si>
    <t>R-5</t>
  </si>
  <si>
    <t>R-5T</t>
  </si>
  <si>
    <t>R-6</t>
  </si>
  <si>
    <t>RH-2</t>
  </si>
  <si>
    <t>RH-6</t>
  </si>
  <si>
    <t>RTH-2</t>
  </si>
  <si>
    <t>RTH-6</t>
  </si>
  <si>
    <t>Transformadores</t>
  </si>
  <si>
    <t>CS-1</t>
  </si>
  <si>
    <t>CS-2</t>
  </si>
  <si>
    <t>AC</t>
  </si>
  <si>
    <t>B2</t>
  </si>
  <si>
    <t>PM3</t>
  </si>
  <si>
    <t>TO1</t>
  </si>
  <si>
    <t>PRC1</t>
  </si>
  <si>
    <t>GT4</t>
  </si>
  <si>
    <t>AE1</t>
  </si>
  <si>
    <t>EC1</t>
  </si>
  <si>
    <t>EC2</t>
  </si>
  <si>
    <t>CR3</t>
  </si>
  <si>
    <t>PM1</t>
  </si>
  <si>
    <t>PAN1</t>
  </si>
  <si>
    <t>PC-30</t>
  </si>
  <si>
    <t>PC-35</t>
  </si>
  <si>
    <t>PC-40</t>
  </si>
  <si>
    <t>PC-45</t>
  </si>
  <si>
    <t>PC</t>
  </si>
  <si>
    <t>TP</t>
  </si>
  <si>
    <t>PM4</t>
  </si>
  <si>
    <t>B1</t>
  </si>
  <si>
    <t>CC1</t>
  </si>
  <si>
    <t xml:space="preserve">Poste de Concreto de 30 Pies Autosoportado. </t>
  </si>
  <si>
    <t xml:space="preserve">Poste de Concreto de 35 Pies Autosoportado. </t>
  </si>
  <si>
    <t xml:space="preserve">Poste de Concreto de 40 Pies Autosoportado. </t>
  </si>
  <si>
    <t xml:space="preserve">Poste de Concreto de 45 Pies Autosoportado. </t>
  </si>
  <si>
    <t>Postes de Concreto</t>
  </si>
  <si>
    <t>Postes de Madera</t>
  </si>
  <si>
    <t>PM-30</t>
  </si>
  <si>
    <t>PM-35</t>
  </si>
  <si>
    <t>PM-40</t>
  </si>
  <si>
    <t>PM-45</t>
  </si>
  <si>
    <t xml:space="preserve">Poste de Madera de 30 Pies. </t>
  </si>
  <si>
    <t xml:space="preserve">Poste de Madera de 35 Pies. </t>
  </si>
  <si>
    <t xml:space="preserve">Poste de Madera de 40 Pies. </t>
  </si>
  <si>
    <t xml:space="preserve">Poste de Madera de 45 Pies. </t>
  </si>
  <si>
    <t>PT-30</t>
  </si>
  <si>
    <t>PT-35</t>
  </si>
  <si>
    <t>PT-40</t>
  </si>
  <si>
    <t>PT-45</t>
  </si>
  <si>
    <t xml:space="preserve">Poste de Tubular de 30 Pies. </t>
  </si>
  <si>
    <t xml:space="preserve">Poste de Tubular de 35 Pies. </t>
  </si>
  <si>
    <t xml:space="preserve">Poste de Tubular de 40 Pies. </t>
  </si>
  <si>
    <t xml:space="preserve">Poste de Tubular de 45 Pies. </t>
  </si>
  <si>
    <t>1/0 ACSR</t>
  </si>
  <si>
    <t>3/0 ACSR</t>
  </si>
  <si>
    <t>AB CHANCE PS6376</t>
  </si>
  <si>
    <t>AS2</t>
  </si>
  <si>
    <t>AB CHANCE C909-1042</t>
  </si>
  <si>
    <t>B3</t>
  </si>
  <si>
    <t>CA1</t>
  </si>
  <si>
    <t>CAF2</t>
  </si>
  <si>
    <t>CAF3</t>
  </si>
  <si>
    <t>CÓDIGO</t>
  </si>
  <si>
    <t>CBC</t>
  </si>
  <si>
    <t>CAC1</t>
  </si>
  <si>
    <t>CAC5</t>
  </si>
  <si>
    <t>CF</t>
  </si>
  <si>
    <t>FISHER PIERCE 7790B-SSS</t>
  </si>
  <si>
    <t>CCC</t>
  </si>
  <si>
    <t>CC2</t>
  </si>
  <si>
    <t>CC4</t>
  </si>
  <si>
    <t>CC5</t>
  </si>
  <si>
    <t>CC6</t>
  </si>
  <si>
    <t>CC11</t>
  </si>
  <si>
    <t>CONECTOR DE COMPRESIÓN YPC 26R8U</t>
  </si>
  <si>
    <t>CCB4</t>
  </si>
  <si>
    <t>CCB5</t>
  </si>
  <si>
    <t>CP1</t>
  </si>
  <si>
    <t>CP2</t>
  </si>
  <si>
    <t>CVA</t>
  </si>
  <si>
    <t>CR1</t>
  </si>
  <si>
    <t>CR2</t>
  </si>
  <si>
    <t>CN1</t>
  </si>
  <si>
    <t>CN2</t>
  </si>
  <si>
    <t>CRA1</t>
  </si>
  <si>
    <t>CRA2</t>
  </si>
  <si>
    <t>EPC</t>
  </si>
  <si>
    <t>ET1</t>
  </si>
  <si>
    <t>F1</t>
  </si>
  <si>
    <t>F2</t>
  </si>
  <si>
    <t>GB</t>
  </si>
  <si>
    <t>GS1</t>
  </si>
  <si>
    <t>GC</t>
  </si>
  <si>
    <t>PR1</t>
  </si>
  <si>
    <t>PR2</t>
  </si>
  <si>
    <t>PO4</t>
  </si>
  <si>
    <t>PO5</t>
  </si>
  <si>
    <t>PRC2</t>
  </si>
  <si>
    <t>PRC3</t>
  </si>
  <si>
    <t>PRC5</t>
  </si>
  <si>
    <t>PCT</t>
  </si>
  <si>
    <t>IMFICA</t>
  </si>
  <si>
    <t>PA1</t>
  </si>
  <si>
    <t>PLE</t>
  </si>
  <si>
    <t>PMR</t>
  </si>
  <si>
    <t>TR5</t>
  </si>
  <si>
    <t>TR6</t>
  </si>
  <si>
    <t>TR7</t>
  </si>
  <si>
    <t>TR8</t>
  </si>
  <si>
    <t>TR9</t>
  </si>
  <si>
    <t>TR10</t>
  </si>
  <si>
    <t>TR11</t>
  </si>
  <si>
    <t>TR12</t>
  </si>
  <si>
    <t>TR13</t>
  </si>
  <si>
    <t>TR14</t>
  </si>
  <si>
    <t>TR15</t>
  </si>
  <si>
    <t>TR16</t>
  </si>
  <si>
    <t>TGL2</t>
  </si>
  <si>
    <t>TO2</t>
  </si>
  <si>
    <t>VA1</t>
  </si>
  <si>
    <t>VA3</t>
  </si>
  <si>
    <t>VAP2</t>
  </si>
  <si>
    <t>VAP6</t>
  </si>
  <si>
    <t>VPT</t>
  </si>
  <si>
    <r>
      <rPr>
        <b/>
        <sz val="8.5"/>
        <rFont val="Arial"/>
        <family val="2"/>
      </rPr>
      <t>REFERENCIA</t>
    </r>
  </si>
  <si>
    <r>
      <rPr>
        <b/>
        <sz val="8.5"/>
        <rFont val="Calibri"/>
        <family val="1"/>
      </rPr>
      <t>AB1</t>
    </r>
  </si>
  <si>
    <r>
      <rPr>
        <sz val="7"/>
        <rFont val="Calibri"/>
        <family val="1"/>
      </rPr>
      <t>AB CHANCE 637412</t>
    </r>
  </si>
  <si>
    <r>
      <rPr>
        <b/>
        <sz val="8.5"/>
        <rFont val="Calibri"/>
        <family val="1"/>
      </rPr>
      <t>AB2</t>
    </r>
  </si>
  <si>
    <r>
      <rPr>
        <sz val="7"/>
        <rFont val="Calibri"/>
        <family val="1"/>
      </rPr>
      <t>AB CHANCE PS6366</t>
    </r>
  </si>
  <si>
    <r>
      <rPr>
        <b/>
        <sz val="8.5"/>
        <rFont val="Calibri"/>
        <family val="1"/>
      </rPr>
      <t>AB3</t>
    </r>
  </si>
  <si>
    <r>
      <rPr>
        <b/>
        <sz val="8.5"/>
        <rFont val="Calibri"/>
        <family val="1"/>
      </rPr>
      <t>AC</t>
    </r>
  </si>
  <si>
    <r>
      <rPr>
        <sz val="7"/>
        <rFont val="Calibri"/>
        <family val="1"/>
      </rPr>
      <t>AB CHANCE C909-1032</t>
    </r>
  </si>
  <si>
    <r>
      <rPr>
        <b/>
        <sz val="8.5"/>
        <rFont val="Calibri"/>
        <family val="1"/>
      </rPr>
      <t>AE1</t>
    </r>
  </si>
  <si>
    <r>
      <rPr>
        <sz val="7"/>
        <rFont val="Calibri"/>
        <family val="1"/>
      </rPr>
      <t>AB CHANCE C905-1304</t>
    </r>
  </si>
  <si>
    <r>
      <rPr>
        <b/>
        <sz val="8.5"/>
        <rFont val="Calibri"/>
        <family val="1"/>
      </rPr>
      <t>AE2</t>
    </r>
  </si>
  <si>
    <r>
      <rPr>
        <sz val="7"/>
        <rFont val="Calibri"/>
        <family val="1"/>
      </rPr>
      <t>AB CHANCE C906-1303</t>
    </r>
  </si>
  <si>
    <r>
      <rPr>
        <b/>
        <sz val="8.5"/>
        <rFont val="Calibri"/>
        <family val="1"/>
      </rPr>
      <t>AS2</t>
    </r>
  </si>
  <si>
    <r>
      <rPr>
        <sz val="7"/>
        <rFont val="Calibri"/>
        <family val="1"/>
      </rPr>
      <t>AB CHANCE C907-1009</t>
    </r>
  </si>
  <si>
    <r>
      <rPr>
        <b/>
        <sz val="8.5"/>
        <rFont val="Calibri"/>
        <family val="1"/>
      </rPr>
      <t>AS1</t>
    </r>
  </si>
  <si>
    <r>
      <rPr>
        <sz val="7"/>
        <rFont val="Calibri"/>
        <family val="1"/>
      </rPr>
      <t>AB CHANCE C909-1042</t>
    </r>
  </si>
  <si>
    <r>
      <rPr>
        <b/>
        <sz val="8.5"/>
        <rFont val="Calibri"/>
        <family val="1"/>
      </rPr>
      <t>AP1</t>
    </r>
  </si>
  <si>
    <r>
      <rPr>
        <sz val="7"/>
        <rFont val="Calibri"/>
        <family val="1"/>
      </rPr>
      <t>RAYCHEM RST-DS15R-CT</t>
    </r>
  </si>
  <si>
    <r>
      <rPr>
        <b/>
        <sz val="8.5"/>
        <rFont val="Calibri"/>
        <family val="1"/>
      </rPr>
      <t>AP2</t>
    </r>
  </si>
  <si>
    <r>
      <rPr>
        <sz val="7"/>
        <rFont val="Calibri"/>
        <family val="1"/>
      </rPr>
      <t>RAYCHEM RST-DS36R-CT</t>
    </r>
  </si>
  <si>
    <r>
      <rPr>
        <b/>
        <sz val="8.5"/>
        <rFont val="Calibri"/>
        <family val="1"/>
      </rPr>
      <t>AP3</t>
    </r>
  </si>
  <si>
    <r>
      <rPr>
        <sz val="7"/>
        <rFont val="Calibri"/>
        <family val="1"/>
      </rPr>
      <t>RAYCHEM RST-DS46R-CT</t>
    </r>
  </si>
  <si>
    <r>
      <rPr>
        <b/>
        <sz val="8.5"/>
        <rFont val="Calibri"/>
        <family val="1"/>
      </rPr>
      <t>AP4</t>
    </r>
  </si>
  <si>
    <r>
      <rPr>
        <sz val="7"/>
        <rFont val="Calibri"/>
        <family val="1"/>
      </rPr>
      <t>RAYCHEM RLP-43R-FG</t>
    </r>
  </si>
  <si>
    <r>
      <rPr>
        <sz val="7"/>
        <rFont val="Calibri"/>
        <family val="1"/>
      </rPr>
      <t>RAYCHEM RLP-36R-FG</t>
    </r>
  </si>
  <si>
    <r>
      <rPr>
        <b/>
        <sz val="8.5"/>
        <rFont val="Calibri"/>
        <family val="1"/>
      </rPr>
      <t>AP5</t>
    </r>
  </si>
  <si>
    <r>
      <rPr>
        <sz val="7"/>
        <rFont val="Calibri"/>
        <family val="1"/>
      </rPr>
      <t>RAYCHEM RLP-19R-FG</t>
    </r>
  </si>
  <si>
    <r>
      <rPr>
        <b/>
        <sz val="8.5"/>
        <rFont val="Calibri"/>
        <family val="1"/>
      </rPr>
      <t>AP6</t>
    </r>
  </si>
  <si>
    <r>
      <rPr>
        <sz val="7"/>
        <rFont val="Calibri"/>
        <family val="1"/>
      </rPr>
      <t>HENDRIX HPI-5504</t>
    </r>
  </si>
  <si>
    <r>
      <rPr>
        <b/>
        <sz val="8.5"/>
        <rFont val="Calibri"/>
        <family val="1"/>
      </rPr>
      <t>AP7</t>
    </r>
  </si>
  <si>
    <r>
      <rPr>
        <sz val="7"/>
        <rFont val="Calibri"/>
        <family val="1"/>
      </rPr>
      <t>HENDRIX HPI-35J-02</t>
    </r>
  </si>
  <si>
    <r>
      <rPr>
        <b/>
        <sz val="8.5"/>
        <rFont val="Calibri"/>
        <family val="1"/>
      </rPr>
      <t>AA1</t>
    </r>
  </si>
  <si>
    <r>
      <rPr>
        <sz val="7"/>
        <rFont val="Calibri"/>
        <family val="1"/>
      </rPr>
      <t>VIAKON</t>
    </r>
  </si>
  <si>
    <r>
      <rPr>
        <b/>
        <sz val="8.5"/>
        <rFont val="Calibri"/>
        <family val="1"/>
      </rPr>
      <t>AR1</t>
    </r>
  </si>
  <si>
    <r>
      <rPr>
        <sz val="7"/>
        <rFont val="Calibri"/>
        <family val="1"/>
      </rPr>
      <t>AB CHANCE 6813</t>
    </r>
  </si>
  <si>
    <r>
      <rPr>
        <b/>
        <sz val="8.5"/>
        <rFont val="Calibri"/>
        <family val="1"/>
      </rPr>
      <t>BYCT</t>
    </r>
  </si>
  <si>
    <r>
      <rPr>
        <sz val="7"/>
        <rFont val="Calibri"/>
        <family val="1"/>
      </rPr>
      <t>AB CHANCE 0501, 0502</t>
    </r>
  </si>
  <si>
    <r>
      <rPr>
        <b/>
        <sz val="8.5"/>
        <rFont val="Calibri"/>
        <family val="1"/>
      </rPr>
      <t>B1</t>
    </r>
  </si>
  <si>
    <r>
      <rPr>
        <sz val="7"/>
        <rFont val="Calibri"/>
        <family val="1"/>
      </rPr>
      <t>AB CHANCE 468</t>
    </r>
  </si>
  <si>
    <r>
      <rPr>
        <b/>
        <sz val="8.5"/>
        <rFont val="Calibri"/>
        <family val="1"/>
      </rPr>
      <t>B2</t>
    </r>
  </si>
  <si>
    <r>
      <rPr>
        <sz val="7"/>
        <rFont val="Calibri"/>
        <family val="1"/>
      </rPr>
      <t>AB CHANCE C207-0047</t>
    </r>
  </si>
  <si>
    <r>
      <rPr>
        <b/>
        <sz val="8.5"/>
        <rFont val="Calibri"/>
        <family val="1"/>
      </rPr>
      <t>B3</t>
    </r>
  </si>
  <si>
    <r>
      <rPr>
        <sz val="7"/>
        <rFont val="Calibri"/>
        <family val="1"/>
      </rPr>
      <t>AB CHANCE C207-0048</t>
    </r>
  </si>
  <si>
    <r>
      <rPr>
        <sz val="7"/>
        <rFont val="Calibri"/>
        <family val="1"/>
      </rPr>
      <t>PHILIPS / EYE LIGHTING</t>
    </r>
  </si>
  <si>
    <r>
      <rPr>
        <b/>
        <sz val="8.5"/>
        <rFont val="Calibri"/>
        <family val="1"/>
      </rPr>
      <t>BPL</t>
    </r>
  </si>
  <si>
    <r>
      <rPr>
        <b/>
        <sz val="8.5"/>
        <rFont val="Calibri"/>
        <family val="1"/>
      </rPr>
      <t>BY01</t>
    </r>
  </si>
  <si>
    <r>
      <rPr>
        <sz val="7"/>
        <rFont val="Calibri"/>
        <family val="1"/>
      </rPr>
      <t>AB CHANCE 5436</t>
    </r>
  </si>
  <si>
    <r>
      <rPr>
        <b/>
        <sz val="8.5"/>
        <rFont val="Calibri"/>
        <family val="1"/>
      </rPr>
      <t>BY02</t>
    </r>
  </si>
  <si>
    <r>
      <rPr>
        <sz val="7"/>
        <rFont val="Calibri"/>
        <family val="1"/>
      </rPr>
      <t>AB CHANCE 5466</t>
    </r>
  </si>
  <si>
    <r>
      <rPr>
        <b/>
        <sz val="8.5"/>
        <rFont val="Calibri"/>
        <family val="1"/>
      </rPr>
      <t>BY03</t>
    </r>
  </si>
  <si>
    <r>
      <rPr>
        <sz val="7"/>
        <rFont val="Calibri"/>
        <family val="1"/>
      </rPr>
      <t>AB CHANCE 5484</t>
    </r>
  </si>
  <si>
    <r>
      <rPr>
        <b/>
        <sz val="8.5"/>
        <rFont val="Calibri"/>
        <family val="1"/>
      </rPr>
      <t>BY04</t>
    </r>
  </si>
  <si>
    <r>
      <rPr>
        <sz val="7"/>
        <rFont val="Calibri"/>
        <family val="1"/>
      </rPr>
      <t>AB CHANCE 5566</t>
    </r>
  </si>
  <si>
    <r>
      <rPr>
        <b/>
        <sz val="8.5"/>
        <rFont val="Calibri"/>
        <family val="1"/>
      </rPr>
      <t>BY05</t>
    </r>
  </si>
  <si>
    <r>
      <rPr>
        <sz val="7"/>
        <rFont val="Calibri"/>
        <family val="1"/>
      </rPr>
      <t>AB CHANCE 5584</t>
    </r>
  </si>
  <si>
    <r>
      <rPr>
        <b/>
        <sz val="8.5"/>
        <rFont val="Calibri"/>
        <family val="1"/>
      </rPr>
      <t>BY06</t>
    </r>
  </si>
  <si>
    <r>
      <rPr>
        <sz val="7"/>
        <rFont val="Calibri"/>
        <family val="1"/>
      </rPr>
      <t>AB CHANCE C206-0247</t>
    </r>
  </si>
  <si>
    <r>
      <rPr>
        <b/>
        <sz val="8.5"/>
        <rFont val="Calibri"/>
        <family val="1"/>
      </rPr>
      <t>CA1</t>
    </r>
  </si>
  <si>
    <r>
      <rPr>
        <b/>
        <sz val="8.5"/>
        <rFont val="Calibri"/>
        <family val="1"/>
      </rPr>
      <t>CA2</t>
    </r>
  </si>
  <si>
    <r>
      <rPr>
        <b/>
        <sz val="8.5"/>
        <rFont val="Calibri"/>
        <family val="1"/>
      </rPr>
      <t>CA3</t>
    </r>
  </si>
  <si>
    <r>
      <rPr>
        <b/>
        <sz val="8.5"/>
        <rFont val="Calibri"/>
        <family val="1"/>
      </rPr>
      <t>CAF1</t>
    </r>
  </si>
  <si>
    <r>
      <rPr>
        <sz val="7"/>
        <rFont val="Calibri"/>
        <family val="1"/>
      </rPr>
      <t>ELECTROCABLES</t>
    </r>
  </si>
  <si>
    <r>
      <rPr>
        <b/>
        <sz val="8.5"/>
        <rFont val="Calibri"/>
        <family val="1"/>
      </rPr>
      <t>CAF2</t>
    </r>
  </si>
  <si>
    <r>
      <rPr>
        <b/>
        <sz val="8.5"/>
        <rFont val="Calibri"/>
        <family val="1"/>
      </rPr>
      <t>CAF3</t>
    </r>
  </si>
  <si>
    <r>
      <rPr>
        <b/>
        <sz val="8.5"/>
        <rFont val="Calibri"/>
        <family val="1"/>
      </rPr>
      <t>CAF4</t>
    </r>
  </si>
  <si>
    <r>
      <rPr>
        <b/>
        <sz val="8.5"/>
        <rFont val="Calibri"/>
        <family val="1"/>
      </rPr>
      <t>CAD1</t>
    </r>
  </si>
  <si>
    <r>
      <rPr>
        <sz val="7"/>
        <rFont val="Calibri"/>
        <family val="1"/>
      </rPr>
      <t>CONAL</t>
    </r>
  </si>
  <si>
    <r>
      <rPr>
        <b/>
        <sz val="8.5"/>
        <rFont val="Calibri"/>
        <family val="1"/>
      </rPr>
      <t>CAD2</t>
    </r>
  </si>
  <si>
    <r>
      <rPr>
        <b/>
        <sz val="8.5"/>
        <rFont val="Calibri"/>
        <family val="1"/>
      </rPr>
      <t>CAD3</t>
    </r>
  </si>
  <si>
    <r>
      <rPr>
        <b/>
        <sz val="8.5"/>
        <rFont val="Calibri"/>
        <family val="1"/>
      </rPr>
      <t>CAD4</t>
    </r>
  </si>
  <si>
    <r>
      <rPr>
        <b/>
        <sz val="8.5"/>
        <rFont val="Calibri"/>
        <family val="1"/>
      </rPr>
      <t>CAD5</t>
    </r>
  </si>
  <si>
    <r>
      <rPr>
        <b/>
        <sz val="8.5"/>
        <rFont val="Calibri"/>
        <family val="1"/>
      </rPr>
      <t>CAD6</t>
    </r>
  </si>
  <si>
    <r>
      <rPr>
        <b/>
        <sz val="8.5"/>
        <rFont val="Calibri"/>
        <family val="1"/>
      </rPr>
      <t>CAD7</t>
    </r>
  </si>
  <si>
    <r>
      <rPr>
        <b/>
        <sz val="8.5"/>
        <rFont val="Calibri"/>
        <family val="1"/>
      </rPr>
      <t>CAD8</t>
    </r>
  </si>
  <si>
    <r>
      <rPr>
        <b/>
        <sz val="8.5"/>
        <rFont val="Calibri"/>
        <family val="1"/>
      </rPr>
      <t>CAD9</t>
    </r>
  </si>
  <si>
    <r>
      <rPr>
        <b/>
        <sz val="8.5"/>
        <rFont val="Calibri"/>
        <family val="1"/>
      </rPr>
      <t>CBC</t>
    </r>
  </si>
  <si>
    <r>
      <rPr>
        <sz val="7"/>
        <rFont val="Calibri"/>
        <family val="1"/>
      </rPr>
      <t>FUSHI COPPERWELD</t>
    </r>
  </si>
  <si>
    <r>
      <rPr>
        <b/>
        <sz val="8.5"/>
        <rFont val="Calibri"/>
        <family val="1"/>
      </rPr>
      <t>CAC1</t>
    </r>
  </si>
  <si>
    <r>
      <rPr>
        <b/>
        <sz val="8.5"/>
        <rFont val="Calibri"/>
        <family val="1"/>
      </rPr>
      <t>CAC2</t>
    </r>
  </si>
  <si>
    <r>
      <rPr>
        <b/>
        <sz val="8.5"/>
        <rFont val="Calibri"/>
        <family val="1"/>
      </rPr>
      <t>CAC3</t>
    </r>
  </si>
  <si>
    <r>
      <rPr>
        <b/>
        <sz val="8.5"/>
        <rFont val="Calibri"/>
        <family val="1"/>
      </rPr>
      <t>CAC4</t>
    </r>
  </si>
  <si>
    <r>
      <rPr>
        <b/>
        <sz val="8.5"/>
        <rFont val="Calibri"/>
        <family val="1"/>
      </rPr>
      <t>CAC5</t>
    </r>
  </si>
  <si>
    <r>
      <rPr>
        <b/>
        <sz val="8.5"/>
        <rFont val="Calibri"/>
        <family val="1"/>
      </rPr>
      <t>CF</t>
    </r>
  </si>
  <si>
    <r>
      <rPr>
        <b/>
        <sz val="8.5"/>
        <rFont val="Calibri"/>
        <family val="1"/>
      </rPr>
      <t>CT1</t>
    </r>
  </si>
  <si>
    <r>
      <rPr>
        <b/>
        <sz val="8.5"/>
        <rFont val="Calibri"/>
        <family val="1"/>
      </rPr>
      <t>CT2</t>
    </r>
  </si>
  <si>
    <r>
      <rPr>
        <b/>
        <sz val="8.5"/>
        <rFont val="Calibri"/>
        <family val="1"/>
      </rPr>
      <t>CT3</t>
    </r>
  </si>
  <si>
    <r>
      <rPr>
        <b/>
        <sz val="8.5"/>
        <rFont val="Calibri"/>
        <family val="1"/>
      </rPr>
      <t>CAM</t>
    </r>
  </si>
  <si>
    <r>
      <rPr>
        <b/>
        <sz val="8.5"/>
        <rFont val="Calibri"/>
        <family val="1"/>
      </rPr>
      <t>CIA</t>
    </r>
  </si>
  <si>
    <r>
      <rPr>
        <sz val="7"/>
        <rFont val="Calibri"/>
        <family val="1"/>
      </rPr>
      <t>3M SUPER 33+ (UPC 06132)</t>
    </r>
  </si>
  <si>
    <r>
      <rPr>
        <b/>
        <sz val="8.5"/>
        <rFont val="Calibri"/>
        <family val="1"/>
      </rPr>
      <t>CCC</t>
    </r>
  </si>
  <si>
    <r>
      <rPr>
        <sz val="7"/>
        <rFont val="Calibri"/>
        <family val="1"/>
      </rPr>
      <t>BURNDY YG C6C6</t>
    </r>
  </si>
  <si>
    <r>
      <rPr>
        <b/>
        <sz val="8.5"/>
        <rFont val="Calibri"/>
        <family val="1"/>
      </rPr>
      <t>CC0</t>
    </r>
  </si>
  <si>
    <r>
      <rPr>
        <sz val="7"/>
        <rFont val="Calibri"/>
        <family val="1"/>
      </rPr>
      <t>BURNDY YC 4A4</t>
    </r>
  </si>
  <si>
    <r>
      <rPr>
        <b/>
        <sz val="8.5"/>
        <rFont val="Calibri"/>
        <family val="1"/>
      </rPr>
      <t>CC1</t>
    </r>
  </si>
  <si>
    <r>
      <rPr>
        <sz val="7"/>
        <rFont val="Calibri"/>
        <family val="1"/>
      </rPr>
      <t>BURNDY YC 2A2</t>
    </r>
  </si>
  <si>
    <r>
      <rPr>
        <b/>
        <sz val="8.5"/>
        <rFont val="Calibri"/>
        <family val="1"/>
      </rPr>
      <t>CC2</t>
    </r>
  </si>
  <si>
    <r>
      <rPr>
        <sz val="7"/>
        <rFont val="Calibri"/>
        <family val="1"/>
      </rPr>
      <t>BURNDY YC 25A25</t>
    </r>
  </si>
  <si>
    <r>
      <rPr>
        <b/>
        <sz val="8.5"/>
        <rFont val="Calibri"/>
        <family val="1"/>
      </rPr>
      <t>CC3</t>
    </r>
  </si>
  <si>
    <r>
      <rPr>
        <sz val="7"/>
        <rFont val="Calibri"/>
        <family val="1"/>
      </rPr>
      <t>BURNDY YC 25A2</t>
    </r>
  </si>
  <si>
    <r>
      <rPr>
        <b/>
        <sz val="8.5"/>
        <rFont val="Calibri"/>
        <family val="1"/>
      </rPr>
      <t>CC4</t>
    </r>
  </si>
  <si>
    <r>
      <rPr>
        <sz val="7"/>
        <rFont val="Calibri"/>
        <family val="1"/>
      </rPr>
      <t>BURNDY YC 28A2</t>
    </r>
  </si>
  <si>
    <r>
      <rPr>
        <b/>
        <sz val="8.5"/>
        <rFont val="Calibri"/>
        <family val="1"/>
      </rPr>
      <t>CC5</t>
    </r>
  </si>
  <si>
    <r>
      <rPr>
        <sz val="7"/>
        <rFont val="Calibri"/>
        <family val="1"/>
      </rPr>
      <t>BURNDY YC 28A25</t>
    </r>
  </si>
  <si>
    <r>
      <rPr>
        <b/>
        <sz val="8.5"/>
        <rFont val="Calibri"/>
        <family val="1"/>
      </rPr>
      <t>CC6</t>
    </r>
  </si>
  <si>
    <r>
      <rPr>
        <sz val="7"/>
        <rFont val="Calibri"/>
        <family val="1"/>
      </rPr>
      <t>BURNDY YC 28A28</t>
    </r>
  </si>
  <si>
    <r>
      <rPr>
        <b/>
        <sz val="8.5"/>
        <rFont val="Calibri"/>
        <family val="1"/>
      </rPr>
      <t>CC7</t>
    </r>
  </si>
  <si>
    <r>
      <rPr>
        <sz val="7"/>
        <rFont val="Calibri"/>
        <family val="1"/>
      </rPr>
      <t>BURNDY KDR05</t>
    </r>
  </si>
  <si>
    <r>
      <rPr>
        <b/>
        <sz val="8.5"/>
        <rFont val="Calibri"/>
        <family val="1"/>
      </rPr>
      <t>CC8</t>
    </r>
  </si>
  <si>
    <r>
      <rPr>
        <sz val="7"/>
        <rFont val="Calibri"/>
        <family val="1"/>
      </rPr>
      <t>BURNDY YPC 33R28R</t>
    </r>
  </si>
  <si>
    <r>
      <rPr>
        <b/>
        <sz val="8.5"/>
        <rFont val="Calibri"/>
        <family val="1"/>
      </rPr>
      <t>CC9</t>
    </r>
  </si>
  <si>
    <r>
      <rPr>
        <sz val="7"/>
        <rFont val="Calibri"/>
        <family val="1"/>
      </rPr>
      <t>BURNDY YPC 33R26U</t>
    </r>
  </si>
  <si>
    <r>
      <rPr>
        <b/>
        <sz val="8.5"/>
        <rFont val="Calibri"/>
        <family val="1"/>
      </rPr>
      <t>CC10</t>
    </r>
  </si>
  <si>
    <r>
      <rPr>
        <b/>
        <sz val="8.5"/>
        <rFont val="Calibri"/>
        <family val="1"/>
      </rPr>
      <t>CC11</t>
    </r>
  </si>
  <si>
    <r>
      <rPr>
        <sz val="7"/>
        <rFont val="Calibri"/>
        <family val="1"/>
      </rPr>
      <t>BURNDY YPC 26R8U</t>
    </r>
  </si>
  <si>
    <r>
      <rPr>
        <b/>
        <sz val="8.5"/>
        <rFont val="Calibri"/>
        <family val="1"/>
      </rPr>
      <t>CC12</t>
    </r>
  </si>
  <si>
    <r>
      <rPr>
        <sz val="7"/>
        <rFont val="Calibri"/>
        <family val="1"/>
      </rPr>
      <t>BURNDY YPC33R33R</t>
    </r>
  </si>
  <si>
    <r>
      <rPr>
        <b/>
        <sz val="8.5"/>
        <rFont val="Calibri"/>
        <family val="1"/>
      </rPr>
      <t>CC13</t>
    </r>
  </si>
  <si>
    <r>
      <rPr>
        <sz val="7"/>
        <rFont val="Calibri"/>
        <family val="1"/>
      </rPr>
      <t>BURNDY YHN-525</t>
    </r>
  </si>
  <si>
    <r>
      <rPr>
        <b/>
        <sz val="8.5"/>
        <rFont val="Calibri"/>
        <family val="1"/>
      </rPr>
      <t>CC14</t>
    </r>
  </si>
  <si>
    <r>
      <rPr>
        <sz val="7"/>
        <rFont val="Calibri"/>
        <family val="1"/>
      </rPr>
      <t>BURNDY YPC40A40</t>
    </r>
  </si>
  <si>
    <r>
      <rPr>
        <b/>
        <sz val="8.5"/>
        <rFont val="Calibri"/>
        <family val="1"/>
      </rPr>
      <t>CCB1</t>
    </r>
  </si>
  <si>
    <r>
      <rPr>
        <sz val="7"/>
        <rFont val="Calibri"/>
        <family val="1"/>
      </rPr>
      <t>BURNDY YHO-1</t>
    </r>
  </si>
  <si>
    <r>
      <rPr>
        <b/>
        <sz val="8.5"/>
        <rFont val="Calibri"/>
        <family val="1"/>
      </rPr>
      <t>CCB3</t>
    </r>
  </si>
  <si>
    <r>
      <rPr>
        <sz val="7"/>
        <rFont val="Calibri"/>
        <family val="1"/>
      </rPr>
      <t>BURNDY YHO-2</t>
    </r>
  </si>
  <si>
    <r>
      <rPr>
        <b/>
        <sz val="8.5"/>
        <rFont val="Calibri"/>
        <family val="1"/>
      </rPr>
      <t>CCB4</t>
    </r>
  </si>
  <si>
    <r>
      <rPr>
        <sz val="7"/>
        <rFont val="Calibri"/>
        <family val="1"/>
      </rPr>
      <t>BURNDY YHD-10</t>
    </r>
  </si>
  <si>
    <r>
      <rPr>
        <b/>
        <sz val="8.5"/>
        <rFont val="Calibri"/>
        <family val="1"/>
      </rPr>
      <t>CCB5</t>
    </r>
  </si>
  <si>
    <r>
      <rPr>
        <sz val="7"/>
        <rFont val="Calibri"/>
        <family val="1"/>
      </rPr>
      <t>BURNDY YHD-5</t>
    </r>
  </si>
  <si>
    <r>
      <rPr>
        <b/>
        <sz val="8.5"/>
        <rFont val="Calibri"/>
        <family val="1"/>
      </rPr>
      <t>CCA</t>
    </r>
  </si>
  <si>
    <r>
      <rPr>
        <sz val="7"/>
        <rFont val="Calibri"/>
        <family val="1"/>
      </rPr>
      <t>BURNDY GC4C4C</t>
    </r>
  </si>
  <si>
    <r>
      <rPr>
        <b/>
        <sz val="8.5"/>
        <rFont val="Calibri"/>
        <family val="1"/>
      </rPr>
      <t>CP1</t>
    </r>
  </si>
  <si>
    <r>
      <rPr>
        <sz val="7"/>
        <rFont val="Calibri"/>
        <family val="1"/>
      </rPr>
      <t>BURNDY YE27R-60</t>
    </r>
  </si>
  <si>
    <r>
      <rPr>
        <b/>
        <sz val="8.5"/>
        <rFont val="Calibri"/>
        <family val="1"/>
      </rPr>
      <t>CP2</t>
    </r>
  </si>
  <si>
    <r>
      <rPr>
        <sz val="7"/>
        <rFont val="Calibri"/>
        <family val="1"/>
      </rPr>
      <t>BURNDY YE30R-60</t>
    </r>
  </si>
  <si>
    <r>
      <rPr>
        <b/>
        <sz val="8.5"/>
        <rFont val="Calibri"/>
        <family val="1"/>
      </rPr>
      <t>CP3</t>
    </r>
  </si>
  <si>
    <r>
      <rPr>
        <sz val="7"/>
        <rFont val="Calibri"/>
        <family val="1"/>
      </rPr>
      <t>BURNDY YE361R-60</t>
    </r>
  </si>
  <si>
    <r>
      <rPr>
        <b/>
        <sz val="8.5"/>
        <rFont val="Calibri"/>
        <family val="1"/>
      </rPr>
      <t>CP4</t>
    </r>
  </si>
  <si>
    <r>
      <rPr>
        <sz val="7"/>
        <rFont val="Calibri"/>
        <family val="1"/>
      </rPr>
      <t>BURNDY YE39R-60</t>
    </r>
  </si>
  <si>
    <r>
      <rPr>
        <b/>
        <sz val="8.5"/>
        <rFont val="Calibri"/>
        <family val="1"/>
      </rPr>
      <t>CVA</t>
    </r>
  </si>
  <si>
    <r>
      <rPr>
        <sz val="7"/>
        <rFont val="Calibri"/>
        <family val="1"/>
      </rPr>
      <t>ABCHANCE C203-0344</t>
    </r>
  </si>
  <si>
    <r>
      <rPr>
        <b/>
        <sz val="8.5"/>
        <rFont val="Calibri"/>
        <family val="1"/>
      </rPr>
      <t>CCH1</t>
    </r>
  </si>
  <si>
    <r>
      <rPr>
        <b/>
        <sz val="8.5"/>
        <rFont val="Calibri"/>
        <family val="1"/>
      </rPr>
      <t>CCH2</t>
    </r>
  </si>
  <si>
    <r>
      <rPr>
        <sz val="7"/>
        <rFont val="Calibri"/>
        <family val="1"/>
      </rPr>
      <t>BURNDY YHN-550</t>
    </r>
  </si>
  <si>
    <r>
      <rPr>
        <b/>
        <sz val="8.5"/>
        <rFont val="Calibri"/>
        <family val="1"/>
      </rPr>
      <t>CCP1</t>
    </r>
  </si>
  <si>
    <r>
      <rPr>
        <sz val="7"/>
        <rFont val="Calibri"/>
        <family val="1"/>
      </rPr>
      <t>BURNDY YKA27R-2N</t>
    </r>
  </si>
  <si>
    <r>
      <rPr>
        <b/>
        <sz val="8.5"/>
        <rFont val="Calibri"/>
        <family val="1"/>
      </rPr>
      <t>CCP2</t>
    </r>
  </si>
  <si>
    <r>
      <rPr>
        <sz val="7"/>
        <rFont val="Calibri"/>
        <family val="1"/>
      </rPr>
      <t>BURNDY YKA30R-2N</t>
    </r>
  </si>
  <si>
    <r>
      <rPr>
        <b/>
        <sz val="8.5"/>
        <rFont val="Calibri"/>
        <family val="1"/>
      </rPr>
      <t>CCP3</t>
    </r>
  </si>
  <si>
    <r>
      <rPr>
        <sz val="7"/>
        <rFont val="Calibri"/>
        <family val="1"/>
      </rPr>
      <t>BURNDY YKA37R-2N</t>
    </r>
  </si>
  <si>
    <r>
      <rPr>
        <b/>
        <sz val="8.5"/>
        <rFont val="Calibri"/>
        <family val="1"/>
      </rPr>
      <t>CCT1</t>
    </r>
  </si>
  <si>
    <r>
      <rPr>
        <sz val="7"/>
        <rFont val="Calibri"/>
        <family val="1"/>
      </rPr>
      <t>BURNDY YTU30R30R</t>
    </r>
  </si>
  <si>
    <r>
      <rPr>
        <b/>
        <sz val="8.5"/>
        <rFont val="Calibri"/>
        <family val="1"/>
      </rPr>
      <t>CCT2</t>
    </r>
  </si>
  <si>
    <r>
      <rPr>
        <sz val="7"/>
        <rFont val="Calibri"/>
        <family val="1"/>
      </rPr>
      <t>BURNDY YNT36R36R</t>
    </r>
  </si>
  <si>
    <r>
      <rPr>
        <b/>
        <sz val="8.5"/>
        <rFont val="Calibri"/>
        <family val="1"/>
      </rPr>
      <t>CCT3</t>
    </r>
  </si>
  <si>
    <r>
      <rPr>
        <sz val="7"/>
        <rFont val="Calibri"/>
        <family val="1"/>
      </rPr>
      <t>BURNDY YNT39R39R</t>
    </r>
  </si>
  <si>
    <r>
      <rPr>
        <b/>
        <sz val="8.5"/>
        <rFont val="Calibri"/>
        <family val="1"/>
      </rPr>
      <t>CR1</t>
    </r>
  </si>
  <si>
    <r>
      <rPr>
        <b/>
        <sz val="8.5"/>
        <rFont val="Calibri"/>
        <family val="1"/>
      </rPr>
      <t>CR2</t>
    </r>
  </si>
  <si>
    <r>
      <rPr>
        <b/>
        <sz val="8.5"/>
        <rFont val="Calibri"/>
        <family val="1"/>
      </rPr>
      <t>CR3</t>
    </r>
  </si>
  <si>
    <r>
      <rPr>
        <b/>
        <sz val="8.5"/>
        <rFont val="Calibri"/>
        <family val="1"/>
      </rPr>
      <t>CR4</t>
    </r>
  </si>
  <si>
    <r>
      <rPr>
        <b/>
        <sz val="8.5"/>
        <rFont val="Calibri"/>
        <family val="1"/>
      </rPr>
      <t>CR5</t>
    </r>
  </si>
  <si>
    <r>
      <rPr>
        <b/>
        <sz val="8.5"/>
        <rFont val="Calibri"/>
        <family val="1"/>
      </rPr>
      <t>CN1</t>
    </r>
  </si>
  <si>
    <r>
      <rPr>
        <sz val="7"/>
        <rFont val="Calibri"/>
        <family val="1"/>
      </rPr>
      <t>ABB X1NCBNLA11</t>
    </r>
  </si>
  <si>
    <r>
      <rPr>
        <b/>
        <sz val="8.5"/>
        <rFont val="Calibri"/>
        <family val="1"/>
      </rPr>
      <t>CN2</t>
    </r>
  </si>
  <si>
    <r>
      <rPr>
        <sz val="7"/>
        <rFont val="Calibri"/>
        <family val="1"/>
      </rPr>
      <t>ABB X5NCBNMA12</t>
    </r>
  </si>
  <si>
    <r>
      <rPr>
        <b/>
        <sz val="8.5"/>
        <rFont val="Calibri"/>
        <family val="1"/>
      </rPr>
      <t>CN3</t>
    </r>
  </si>
  <si>
    <r>
      <rPr>
        <sz val="7"/>
        <rFont val="Calibri"/>
        <family val="1"/>
      </rPr>
      <t>ABB ICX</t>
    </r>
  </si>
  <si>
    <r>
      <rPr>
        <b/>
        <sz val="8.5"/>
        <rFont val="Calibri"/>
        <family val="1"/>
      </rPr>
      <t>CN4</t>
    </r>
  </si>
  <si>
    <r>
      <rPr>
        <b/>
        <sz val="8.5"/>
        <rFont val="Calibri"/>
        <family val="1"/>
      </rPr>
      <t>CRA1</t>
    </r>
  </si>
  <si>
    <r>
      <rPr>
        <sz val="7"/>
        <rFont val="Calibri"/>
        <family val="1"/>
      </rPr>
      <t>ABB 4992C85A25</t>
    </r>
  </si>
  <si>
    <r>
      <rPr>
        <b/>
        <sz val="8.5"/>
        <rFont val="Calibri"/>
        <family val="1"/>
      </rPr>
      <t>CRA2</t>
    </r>
  </si>
  <si>
    <r>
      <rPr>
        <sz val="7"/>
        <rFont val="Calibri"/>
        <family val="1"/>
      </rPr>
      <t>ABB 4992C85A05MP</t>
    </r>
  </si>
  <si>
    <r>
      <rPr>
        <b/>
        <sz val="8.5"/>
        <rFont val="Calibri"/>
        <family val="1"/>
      </rPr>
      <t>CRA3</t>
    </r>
  </si>
  <si>
    <r>
      <rPr>
        <sz val="7"/>
        <rFont val="Calibri"/>
        <family val="1"/>
      </rPr>
      <t>ABB LBU-II</t>
    </r>
  </si>
  <si>
    <r>
      <rPr>
        <b/>
        <sz val="8.5"/>
        <rFont val="Calibri"/>
        <family val="1"/>
      </rPr>
      <t>CRA4</t>
    </r>
  </si>
  <si>
    <r>
      <rPr>
        <b/>
        <sz val="8.5"/>
        <rFont val="Calibri"/>
        <family val="1"/>
      </rPr>
      <t>EC1</t>
    </r>
  </si>
  <si>
    <r>
      <rPr>
        <sz val="7"/>
        <rFont val="Calibri"/>
        <family val="1"/>
      </rPr>
      <t>AB CHANCE 4706</t>
    </r>
  </si>
  <si>
    <r>
      <rPr>
        <b/>
        <sz val="8.5"/>
        <rFont val="Calibri"/>
        <family val="1"/>
      </rPr>
      <t>EC2</t>
    </r>
  </si>
  <si>
    <r>
      <rPr>
        <sz val="7"/>
        <rFont val="Calibri"/>
        <family val="1"/>
      </rPr>
      <t>AB CHANCE 4328</t>
    </r>
  </si>
  <si>
    <r>
      <rPr>
        <b/>
        <sz val="8.5"/>
        <rFont val="Calibri"/>
        <family val="1"/>
      </rPr>
      <t>EP1</t>
    </r>
  </si>
  <si>
    <r>
      <rPr>
        <sz val="7"/>
        <rFont val="Calibri"/>
        <family val="1"/>
      </rPr>
      <t>AB CHANCE 2170</t>
    </r>
  </si>
  <si>
    <r>
      <rPr>
        <b/>
        <sz val="8.5"/>
        <rFont val="Calibri"/>
        <family val="1"/>
      </rPr>
      <t>EP2</t>
    </r>
  </si>
  <si>
    <r>
      <rPr>
        <sz val="7"/>
        <rFont val="Calibri"/>
        <family val="1"/>
      </rPr>
      <t>AB CHANCE 2195</t>
    </r>
  </si>
  <si>
    <r>
      <rPr>
        <b/>
        <sz val="8.5"/>
        <rFont val="Calibri"/>
        <family val="1"/>
      </rPr>
      <t>EPC</t>
    </r>
  </si>
  <si>
    <r>
      <rPr>
        <sz val="7"/>
        <rFont val="Calibri"/>
        <family val="1"/>
      </rPr>
      <t>AB CHANCE C2060271</t>
    </r>
  </si>
  <si>
    <r>
      <rPr>
        <b/>
        <sz val="8.5"/>
        <rFont val="Calibri"/>
        <family val="1"/>
      </rPr>
      <t>ET1</t>
    </r>
  </si>
  <si>
    <r>
      <rPr>
        <sz val="7"/>
        <rFont val="Calibri"/>
        <family val="1"/>
      </rPr>
      <t>HUBBELL GH282AL</t>
    </r>
  </si>
  <si>
    <r>
      <rPr>
        <b/>
        <sz val="8.5"/>
        <rFont val="Calibri"/>
        <family val="1"/>
      </rPr>
      <t>ET2</t>
    </r>
  </si>
  <si>
    <r>
      <rPr>
        <sz val="7"/>
        <rFont val="Calibri"/>
        <family val="1"/>
      </rPr>
      <t>HUBBELL GH286AL</t>
    </r>
  </si>
  <si>
    <r>
      <rPr>
        <b/>
        <sz val="8.5"/>
        <rFont val="Calibri"/>
        <family val="1"/>
      </rPr>
      <t>ET3</t>
    </r>
  </si>
  <si>
    <r>
      <rPr>
        <sz val="7"/>
        <rFont val="Calibri"/>
        <family val="1"/>
      </rPr>
      <t>HUBBELL VCLS6021</t>
    </r>
  </si>
  <si>
    <r>
      <rPr>
        <b/>
        <sz val="8.5"/>
        <rFont val="Calibri"/>
        <family val="1"/>
      </rPr>
      <t>ET4</t>
    </r>
  </si>
  <si>
    <r>
      <rPr>
        <sz val="7"/>
        <rFont val="Calibri"/>
        <family val="1"/>
      </rPr>
      <t>HUBBELL VCLS9022</t>
    </r>
  </si>
  <si>
    <r>
      <rPr>
        <b/>
        <sz val="8.5"/>
        <rFont val="Calibri"/>
        <family val="1"/>
      </rPr>
      <t>F1</t>
    </r>
  </si>
  <si>
    <r>
      <rPr>
        <sz val="7"/>
        <rFont val="Calibri"/>
        <family val="1"/>
      </rPr>
      <t>AB CHANCE M(X)D(Y)SF23</t>
    </r>
  </si>
  <si>
    <r>
      <rPr>
        <b/>
        <sz val="8.5"/>
        <rFont val="Calibri"/>
        <family val="1"/>
      </rPr>
      <t>F2</t>
    </r>
  </si>
  <si>
    <r>
      <rPr>
        <sz val="7"/>
        <rFont val="Calibri"/>
        <family val="1"/>
      </rPr>
      <t>AB CHANCE M(X)K23</t>
    </r>
  </si>
  <si>
    <r>
      <rPr>
        <b/>
        <sz val="8.5"/>
        <rFont val="Calibri"/>
        <family val="1"/>
      </rPr>
      <t>F3</t>
    </r>
  </si>
  <si>
    <r>
      <rPr>
        <sz val="7"/>
        <rFont val="Calibri"/>
        <family val="1"/>
      </rPr>
      <t>AB CHANCE M(X)T23</t>
    </r>
  </si>
  <si>
    <r>
      <rPr>
        <b/>
        <sz val="8.5"/>
        <rFont val="Calibri"/>
        <family val="1"/>
      </rPr>
      <t>GB</t>
    </r>
  </si>
  <si>
    <r>
      <rPr>
        <sz val="7"/>
        <rFont val="Calibri"/>
        <family val="1"/>
      </rPr>
      <t>HUBBELL BC20FTP</t>
    </r>
  </si>
  <si>
    <r>
      <rPr>
        <b/>
        <sz val="8.5"/>
        <rFont val="Calibri"/>
        <family val="1"/>
      </rPr>
      <t>GS1</t>
    </r>
  </si>
  <si>
    <r>
      <rPr>
        <sz val="7"/>
        <rFont val="Calibri"/>
        <family val="1"/>
      </rPr>
      <t>ANDERSON HAS-118-C</t>
    </r>
  </si>
  <si>
    <r>
      <rPr>
        <b/>
        <sz val="8.5"/>
        <rFont val="Calibri"/>
        <family val="1"/>
      </rPr>
      <t>GS2</t>
    </r>
  </si>
  <si>
    <r>
      <rPr>
        <sz val="7"/>
        <rFont val="Calibri"/>
        <family val="1"/>
      </rPr>
      <t>ANDERSON MS-46-C</t>
    </r>
  </si>
  <si>
    <r>
      <rPr>
        <b/>
        <sz val="8.5"/>
        <rFont val="Calibri"/>
        <family val="1"/>
      </rPr>
      <t>GC</t>
    </r>
  </si>
  <si>
    <r>
      <rPr>
        <sz val="7"/>
        <rFont val="Calibri"/>
        <family val="1"/>
      </rPr>
      <t>AB CHANCE C205-0247</t>
    </r>
  </si>
  <si>
    <r>
      <rPr>
        <b/>
        <sz val="8.5"/>
        <rFont val="Calibri"/>
        <family val="1"/>
      </rPr>
      <t>GT1</t>
    </r>
  </si>
  <si>
    <r>
      <rPr>
        <sz val="7"/>
        <rFont val="Calibri"/>
        <family val="1"/>
      </rPr>
      <t>ANDERSON SD-57-C</t>
    </r>
  </si>
  <si>
    <r>
      <rPr>
        <b/>
        <sz val="8.5"/>
        <rFont val="Calibri"/>
        <family val="1"/>
      </rPr>
      <t>GT2</t>
    </r>
  </si>
  <si>
    <r>
      <rPr>
        <sz val="7"/>
        <rFont val="Calibri"/>
        <family val="1"/>
      </rPr>
      <t>ANDERSON SD-86-C</t>
    </r>
  </si>
  <si>
    <r>
      <rPr>
        <b/>
        <sz val="8.5"/>
        <rFont val="Calibri"/>
        <family val="1"/>
      </rPr>
      <t>GT3</t>
    </r>
  </si>
  <si>
    <r>
      <rPr>
        <sz val="7"/>
        <rFont val="Calibri"/>
        <family val="1"/>
      </rPr>
      <t>ANDERSON MDE-46-C</t>
    </r>
  </si>
  <si>
    <r>
      <rPr>
        <b/>
        <sz val="8.5"/>
        <rFont val="Calibri"/>
        <family val="1"/>
      </rPr>
      <t>GT4</t>
    </r>
  </si>
  <si>
    <r>
      <rPr>
        <sz val="7"/>
        <rFont val="Calibri"/>
        <family val="1"/>
      </rPr>
      <t>ANDERSON MDE-60-C</t>
    </r>
  </si>
  <si>
    <r>
      <rPr>
        <b/>
        <sz val="8.5"/>
        <rFont val="Calibri"/>
        <family val="1"/>
      </rPr>
      <t>GT5</t>
    </r>
  </si>
  <si>
    <r>
      <rPr>
        <sz val="7"/>
        <rFont val="Calibri"/>
        <family val="1"/>
      </rPr>
      <t>ANDERSON 87682-2000</t>
    </r>
  </si>
  <si>
    <r>
      <rPr>
        <b/>
        <sz val="8.5"/>
        <rFont val="Calibri"/>
        <family val="1"/>
      </rPr>
      <t>JP</t>
    </r>
  </si>
  <si>
    <r>
      <rPr>
        <sz val="7"/>
        <rFont val="Calibri"/>
        <family val="1"/>
      </rPr>
      <t>BURNDY YCS-R</t>
    </r>
  </si>
  <si>
    <r>
      <rPr>
        <b/>
        <sz val="8.5"/>
        <rFont val="Calibri"/>
        <family val="1"/>
      </rPr>
      <t>JE</t>
    </r>
  </si>
  <si>
    <r>
      <rPr>
        <sz val="7"/>
        <rFont val="Calibri"/>
        <family val="1"/>
      </rPr>
      <t>BURNDY YDS-RL</t>
    </r>
  </si>
  <si>
    <r>
      <rPr>
        <b/>
        <sz val="8.5"/>
        <rFont val="Calibri"/>
        <family val="1"/>
      </rPr>
      <t>JR</t>
    </r>
  </si>
  <si>
    <r>
      <rPr>
        <sz val="7"/>
        <rFont val="Calibri"/>
        <family val="1"/>
      </rPr>
      <t>BURNDY YCU-R / YOU-R</t>
    </r>
  </si>
  <si>
    <r>
      <rPr>
        <b/>
        <sz val="8.5"/>
        <rFont val="Calibri"/>
        <family val="1"/>
      </rPr>
      <t>LS1</t>
    </r>
  </si>
  <si>
    <r>
      <rPr>
        <sz val="7"/>
        <rFont val="Calibri"/>
        <family val="1"/>
      </rPr>
      <t>COOPER RMA10SN455-LL</t>
    </r>
  </si>
  <si>
    <r>
      <rPr>
        <b/>
        <sz val="8.5"/>
        <rFont val="Calibri"/>
        <family val="1"/>
      </rPr>
      <t>LS2</t>
    </r>
  </si>
  <si>
    <r>
      <rPr>
        <b/>
        <sz val="8.5"/>
        <rFont val="Calibri"/>
        <family val="1"/>
      </rPr>
      <t>LS3</t>
    </r>
  </si>
  <si>
    <r>
      <rPr>
        <sz val="7"/>
        <rFont val="Calibri"/>
        <family val="1"/>
      </rPr>
      <t>COOPER HPRY-GL-3-250-MT-LL</t>
    </r>
  </si>
  <si>
    <r>
      <rPr>
        <b/>
        <sz val="8.5"/>
        <rFont val="Calibri"/>
        <family val="1"/>
      </rPr>
      <t>LS4</t>
    </r>
  </si>
  <si>
    <r>
      <rPr>
        <b/>
        <sz val="8.5"/>
        <rFont val="Calibri"/>
        <family val="1"/>
      </rPr>
      <t>LS5</t>
    </r>
  </si>
  <si>
    <r>
      <rPr>
        <sz val="7"/>
        <rFont val="Calibri"/>
        <family val="1"/>
      </rPr>
      <t>COOPER OVX40SWW3E</t>
    </r>
  </si>
  <si>
    <r>
      <rPr>
        <b/>
        <sz val="8.5"/>
        <rFont val="Calibri"/>
        <family val="1"/>
      </rPr>
      <t>LS6</t>
    </r>
  </si>
  <si>
    <r>
      <rPr>
        <b/>
        <sz val="8.5"/>
        <rFont val="Calibri"/>
        <family val="1"/>
      </rPr>
      <t>ME1</t>
    </r>
  </si>
  <si>
    <r>
      <rPr>
        <b/>
        <sz val="8.5"/>
        <rFont val="Calibri"/>
        <family val="1"/>
      </rPr>
      <t>PR1</t>
    </r>
  </si>
  <si>
    <r>
      <rPr>
        <sz val="7"/>
        <rFont val="Calibri"/>
        <family val="1"/>
      </rPr>
      <t>COOPER AZS101M010R</t>
    </r>
  </si>
  <si>
    <r>
      <rPr>
        <b/>
        <sz val="8.5"/>
        <rFont val="Calibri"/>
        <family val="1"/>
      </rPr>
      <t>PR2</t>
    </r>
  </si>
  <si>
    <r>
      <rPr>
        <sz val="7"/>
        <rFont val="Calibri"/>
        <family val="1"/>
      </rPr>
      <t>COOPER AZS101M027R</t>
    </r>
  </si>
  <si>
    <r>
      <rPr>
        <b/>
        <sz val="8.5"/>
        <rFont val="Calibri"/>
        <family val="1"/>
      </rPr>
      <t>PR3</t>
    </r>
  </si>
  <si>
    <r>
      <rPr>
        <sz val="7"/>
        <rFont val="Calibri"/>
        <family val="1"/>
      </rPr>
      <t>TYCO DAH-10C, DAH-10A</t>
    </r>
  </si>
  <si>
    <r>
      <rPr>
        <b/>
        <sz val="8.5"/>
        <rFont val="Calibri"/>
        <family val="1"/>
      </rPr>
      <t>PR4</t>
    </r>
  </si>
  <si>
    <r>
      <rPr>
        <sz val="7"/>
        <rFont val="Calibri"/>
        <family val="1"/>
      </rPr>
      <t>TYCO DAH-27H4, DAH-27F4</t>
    </r>
  </si>
  <si>
    <r>
      <rPr>
        <b/>
        <sz val="8.5"/>
        <rFont val="Calibri"/>
        <family val="1"/>
      </rPr>
      <t>PAI</t>
    </r>
  </si>
  <si>
    <r>
      <rPr>
        <sz val="7"/>
        <rFont val="Calibri"/>
        <family val="1"/>
      </rPr>
      <t>BURNDY 50x200HSSB</t>
    </r>
  </si>
  <si>
    <r>
      <rPr>
        <b/>
        <sz val="8.5"/>
        <rFont val="Calibri"/>
        <family val="1"/>
      </rPr>
      <t>PC</t>
    </r>
  </si>
  <si>
    <r>
      <rPr>
        <sz val="7"/>
        <rFont val="Calibri"/>
        <family val="1"/>
      </rPr>
      <t>AB CHANCE 8635</t>
    </r>
  </si>
  <si>
    <r>
      <rPr>
        <b/>
        <sz val="8.5"/>
        <rFont val="Calibri"/>
        <family val="1"/>
      </rPr>
      <t>PM1</t>
    </r>
  </si>
  <si>
    <r>
      <rPr>
        <sz val="7"/>
        <rFont val="Calibri"/>
        <family val="1"/>
      </rPr>
      <t>AB CHANCE 8808</t>
    </r>
  </si>
  <si>
    <r>
      <rPr>
        <b/>
        <sz val="8.5"/>
        <rFont val="Calibri"/>
        <family val="1"/>
      </rPr>
      <t>PM2</t>
    </r>
  </si>
  <si>
    <r>
      <rPr>
        <sz val="7"/>
        <rFont val="Calibri"/>
        <family val="1"/>
      </rPr>
      <t>AB CHANCE 8810</t>
    </r>
  </si>
  <si>
    <r>
      <rPr>
        <b/>
        <sz val="8.5"/>
        <rFont val="Calibri"/>
        <family val="1"/>
      </rPr>
      <t>PM3</t>
    </r>
  </si>
  <si>
    <r>
      <rPr>
        <sz val="7"/>
        <rFont val="Calibri"/>
        <family val="1"/>
      </rPr>
      <t>AB CHANCE 8812</t>
    </r>
  </si>
  <si>
    <r>
      <rPr>
        <b/>
        <sz val="8.5"/>
        <rFont val="Calibri"/>
        <family val="1"/>
      </rPr>
      <t>PM4</t>
    </r>
  </si>
  <si>
    <r>
      <rPr>
        <sz val="7"/>
        <rFont val="Calibri"/>
        <family val="1"/>
      </rPr>
      <t>AB CHANCE 8814</t>
    </r>
  </si>
  <si>
    <r>
      <rPr>
        <b/>
        <sz val="8.5"/>
        <rFont val="Calibri"/>
        <family val="1"/>
      </rPr>
      <t>PM5</t>
    </r>
  </si>
  <si>
    <r>
      <rPr>
        <sz val="7"/>
        <rFont val="Calibri"/>
        <family val="1"/>
      </rPr>
      <t>AB CHANCE 8816</t>
    </r>
  </si>
  <si>
    <r>
      <rPr>
        <b/>
        <sz val="8.5"/>
        <rFont val="Calibri"/>
        <family val="1"/>
      </rPr>
      <t>PM6</t>
    </r>
  </si>
  <si>
    <r>
      <rPr>
        <sz val="7"/>
        <rFont val="Calibri"/>
        <family val="1"/>
      </rPr>
      <t>AB CHANCE 8818</t>
    </r>
  </si>
  <si>
    <r>
      <rPr>
        <b/>
        <sz val="8.5"/>
        <rFont val="Calibri"/>
        <family val="1"/>
      </rPr>
      <t>PM7</t>
    </r>
  </si>
  <si>
    <r>
      <rPr>
        <sz val="7"/>
        <rFont val="Calibri"/>
        <family val="1"/>
      </rPr>
      <t>AB CHANCE 8820</t>
    </r>
  </si>
  <si>
    <r>
      <rPr>
        <b/>
        <sz val="8.5"/>
        <rFont val="Calibri"/>
        <family val="1"/>
      </rPr>
      <t>PM8</t>
    </r>
  </si>
  <si>
    <r>
      <rPr>
        <sz val="7"/>
        <rFont val="Calibri"/>
        <family val="1"/>
      </rPr>
      <t>AB CHANCE 8822</t>
    </r>
  </si>
  <si>
    <r>
      <rPr>
        <b/>
        <sz val="8.5"/>
        <rFont val="Calibri"/>
        <family val="1"/>
      </rPr>
      <t>PM9</t>
    </r>
  </si>
  <si>
    <r>
      <rPr>
        <sz val="7"/>
        <rFont val="Calibri"/>
        <family val="1"/>
      </rPr>
      <t>AB CHANCE 8824</t>
    </r>
  </si>
  <si>
    <r>
      <rPr>
        <b/>
        <sz val="8.5"/>
        <rFont val="Calibri"/>
        <family val="1"/>
      </rPr>
      <t>PO1</t>
    </r>
  </si>
  <si>
    <r>
      <rPr>
        <sz val="7"/>
        <rFont val="Calibri"/>
        <family val="1"/>
      </rPr>
      <t>AB CHANCE 29962</t>
    </r>
  </si>
  <si>
    <r>
      <rPr>
        <b/>
        <sz val="8.5"/>
        <rFont val="Calibri"/>
        <family val="1"/>
      </rPr>
      <t>PO2</t>
    </r>
  </si>
  <si>
    <r>
      <rPr>
        <sz val="7"/>
        <rFont val="Calibri"/>
        <family val="1"/>
      </rPr>
      <t>JOSLYN J-6362</t>
    </r>
  </si>
  <si>
    <r>
      <rPr>
        <b/>
        <sz val="8.5"/>
        <rFont val="Calibri"/>
        <family val="1"/>
      </rPr>
      <t>PO3</t>
    </r>
  </si>
  <si>
    <r>
      <rPr>
        <sz val="7"/>
        <rFont val="Calibri"/>
        <family val="1"/>
      </rPr>
      <t>AB CHANCE 5010</t>
    </r>
  </si>
  <si>
    <r>
      <rPr>
        <b/>
        <sz val="8.5"/>
        <rFont val="Calibri"/>
        <family val="1"/>
      </rPr>
      <t>PO4</t>
    </r>
  </si>
  <si>
    <r>
      <rPr>
        <sz val="7"/>
        <rFont val="Calibri"/>
        <family val="1"/>
      </rPr>
      <t>AB CHANCE 5012</t>
    </r>
  </si>
  <si>
    <r>
      <rPr>
        <b/>
        <sz val="8.5"/>
        <rFont val="Calibri"/>
        <family val="1"/>
      </rPr>
      <t>PO5</t>
    </r>
  </si>
  <si>
    <r>
      <rPr>
        <sz val="7"/>
        <rFont val="Calibri"/>
        <family val="1"/>
      </rPr>
      <t>AB CHANCE 5512</t>
    </r>
  </si>
  <si>
    <r>
      <rPr>
        <b/>
        <sz val="8.5"/>
        <rFont val="Calibri"/>
        <family val="1"/>
      </rPr>
      <t>PRC1</t>
    </r>
  </si>
  <si>
    <r>
      <rPr>
        <sz val="7"/>
        <rFont val="Calibri"/>
        <family val="1"/>
      </rPr>
      <t>AB CHANCE 8862</t>
    </r>
  </si>
  <si>
    <r>
      <rPr>
        <b/>
        <sz val="8.5"/>
        <rFont val="Calibri"/>
        <family val="1"/>
      </rPr>
      <t>PRC2</t>
    </r>
  </si>
  <si>
    <r>
      <rPr>
        <sz val="7"/>
        <rFont val="Calibri"/>
        <family val="1"/>
      </rPr>
      <t>AB CHANCE 8864</t>
    </r>
  </si>
  <si>
    <r>
      <rPr>
        <b/>
        <sz val="8.5"/>
        <rFont val="Calibri"/>
        <family val="1"/>
      </rPr>
      <t>PRC3</t>
    </r>
  </si>
  <si>
    <r>
      <rPr>
        <sz val="7"/>
        <rFont val="Calibri"/>
        <family val="1"/>
      </rPr>
      <t>AB CHANCE 8866</t>
    </r>
  </si>
  <si>
    <r>
      <rPr>
        <b/>
        <sz val="8.5"/>
        <rFont val="Calibri"/>
        <family val="1"/>
      </rPr>
      <t>PRC4</t>
    </r>
  </si>
  <si>
    <r>
      <rPr>
        <sz val="7"/>
        <rFont val="Calibri"/>
        <family val="1"/>
      </rPr>
      <t>AB CHANCE 8868</t>
    </r>
  </si>
  <si>
    <r>
      <rPr>
        <b/>
        <sz val="8.5"/>
        <rFont val="Calibri"/>
        <family val="1"/>
      </rPr>
      <t>PRC5</t>
    </r>
  </si>
  <si>
    <r>
      <rPr>
        <sz val="7"/>
        <rFont val="Calibri"/>
        <family val="1"/>
      </rPr>
      <t>AB CHANCE 8870</t>
    </r>
  </si>
  <si>
    <r>
      <rPr>
        <b/>
        <sz val="8.5"/>
        <rFont val="Calibri"/>
        <family val="1"/>
      </rPr>
      <t>PRC6</t>
    </r>
  </si>
  <si>
    <r>
      <rPr>
        <sz val="7"/>
        <rFont val="Calibri"/>
        <family val="1"/>
      </rPr>
      <t>AB CHANCE 8872</t>
    </r>
  </si>
  <si>
    <r>
      <rPr>
        <b/>
        <sz val="8.5"/>
        <rFont val="Calibri"/>
        <family val="1"/>
      </rPr>
      <t>PRC7</t>
    </r>
  </si>
  <si>
    <r>
      <rPr>
        <sz val="7"/>
        <rFont val="Calibri"/>
        <family val="1"/>
      </rPr>
      <t>AB CHANCE 8874</t>
    </r>
  </si>
  <si>
    <r>
      <rPr>
        <b/>
        <sz val="8.5"/>
        <rFont val="Calibri"/>
        <family val="1"/>
      </rPr>
      <t>PCT</t>
    </r>
  </si>
  <si>
    <r>
      <rPr>
        <sz val="7"/>
        <rFont val="Calibri"/>
        <family val="1"/>
      </rPr>
      <t>ANDERSON GTCL23A</t>
    </r>
  </si>
  <si>
    <r>
      <rPr>
        <b/>
        <sz val="8.5"/>
        <rFont val="Calibri"/>
        <family val="1"/>
      </rPr>
      <t>PLR1</t>
    </r>
  </si>
  <si>
    <r>
      <rPr>
        <sz val="7"/>
        <rFont val="Calibri"/>
        <family val="1"/>
      </rPr>
      <t>AB CHANCE 4045</t>
    </r>
  </si>
  <si>
    <r>
      <rPr>
        <b/>
        <sz val="8.5"/>
        <rFont val="Calibri"/>
        <family val="1"/>
      </rPr>
      <t>PLR2</t>
    </r>
  </si>
  <si>
    <r>
      <rPr>
        <sz val="7"/>
        <rFont val="Calibri"/>
        <family val="1"/>
      </rPr>
      <t>AB CHANCE 4047</t>
    </r>
  </si>
  <si>
    <r>
      <rPr>
        <b/>
        <sz val="8.5"/>
        <rFont val="Calibri"/>
        <family val="1"/>
      </rPr>
      <t>PLSC</t>
    </r>
  </si>
  <si>
    <r>
      <rPr>
        <sz val="7"/>
        <rFont val="Calibri"/>
        <family val="1"/>
      </rPr>
      <t>IMFICA</t>
    </r>
  </si>
  <si>
    <r>
      <rPr>
        <b/>
        <sz val="8.5"/>
        <rFont val="Calibri"/>
        <family val="1"/>
      </rPr>
      <t>PA1</t>
    </r>
  </si>
  <si>
    <r>
      <rPr>
        <sz val="7"/>
        <rFont val="Calibri"/>
        <family val="1"/>
      </rPr>
      <t>AB CHANCE X16</t>
    </r>
  </si>
  <si>
    <r>
      <rPr>
        <b/>
        <sz val="8.5"/>
        <rFont val="Calibri"/>
        <family val="1"/>
      </rPr>
      <t>PA2</t>
    </r>
  </si>
  <si>
    <r>
      <rPr>
        <sz val="7"/>
        <rFont val="Calibri"/>
        <family val="1"/>
      </rPr>
      <t>AB CHANCE X20</t>
    </r>
  </si>
  <si>
    <r>
      <rPr>
        <b/>
        <sz val="8.5"/>
        <rFont val="Calibri"/>
        <family val="1"/>
      </rPr>
      <t>PLE</t>
    </r>
  </si>
  <si>
    <r>
      <rPr>
        <sz val="7"/>
        <rFont val="Calibri"/>
        <family val="1"/>
      </rPr>
      <t>AB CHANCE 5844</t>
    </r>
  </si>
  <si>
    <r>
      <rPr>
        <b/>
        <sz val="8.5"/>
        <rFont val="Calibri"/>
        <family val="1"/>
      </rPr>
      <t>PAN</t>
    </r>
  </si>
  <si>
    <r>
      <rPr>
        <sz val="7"/>
        <rFont val="Calibri"/>
        <family val="1"/>
      </rPr>
      <t>AB CHANCE 6999</t>
    </r>
  </si>
  <si>
    <r>
      <rPr>
        <b/>
        <sz val="8.5"/>
        <rFont val="Calibri"/>
        <family val="1"/>
      </rPr>
      <t>PAN1</t>
    </r>
  </si>
  <si>
    <r>
      <rPr>
        <sz val="7"/>
        <rFont val="Calibri"/>
        <family val="1"/>
      </rPr>
      <t>AB CHANCE 6984</t>
    </r>
  </si>
  <si>
    <r>
      <rPr>
        <b/>
        <sz val="8.5"/>
        <rFont val="Calibri"/>
        <family val="1"/>
      </rPr>
      <t>SCT</t>
    </r>
  </si>
  <si>
    <r>
      <rPr>
        <b/>
        <sz val="8.5"/>
        <rFont val="Calibri"/>
        <family val="1"/>
      </rPr>
      <t>PMR</t>
    </r>
  </si>
  <si>
    <r>
      <rPr>
        <sz val="7"/>
        <rFont val="Calibri"/>
        <family val="1"/>
      </rPr>
      <t>JOSLYN J-1447</t>
    </r>
  </si>
  <si>
    <r>
      <rPr>
        <b/>
        <sz val="8.5"/>
        <rFont val="Calibri"/>
        <family val="1"/>
      </rPr>
      <t>PPR</t>
    </r>
  </si>
  <si>
    <r>
      <rPr>
        <sz val="7"/>
        <rFont val="Calibri"/>
        <family val="1"/>
      </rPr>
      <t>AB CHANCE 84PBG-2Y</t>
    </r>
  </si>
  <si>
    <r>
      <rPr>
        <b/>
        <sz val="8.5"/>
        <rFont val="Calibri"/>
        <family val="1"/>
      </rPr>
      <t>SMPT1</t>
    </r>
  </si>
  <si>
    <r>
      <rPr>
        <sz val="7"/>
        <rFont val="Calibri"/>
        <family val="1"/>
      </rPr>
      <t>AB CHANCE 115</t>
    </r>
  </si>
  <si>
    <r>
      <rPr>
        <b/>
        <sz val="8.5"/>
        <rFont val="Calibri"/>
        <family val="1"/>
      </rPr>
      <t>SMPT2</t>
    </r>
  </si>
  <si>
    <r>
      <rPr>
        <sz val="7"/>
        <rFont val="Calibri"/>
        <family val="1"/>
      </rPr>
      <t>AB CHANCE 215</t>
    </r>
  </si>
  <si>
    <r>
      <rPr>
        <b/>
        <sz val="8.5"/>
        <rFont val="Calibri"/>
        <family val="1"/>
      </rPr>
      <t>SMPT3</t>
    </r>
  </si>
  <si>
    <r>
      <rPr>
        <sz val="7"/>
        <rFont val="Calibri"/>
        <family val="1"/>
      </rPr>
      <t>AB CHANCE 315</t>
    </r>
  </si>
  <si>
    <r>
      <rPr>
        <b/>
        <sz val="8.5"/>
        <rFont val="Calibri"/>
        <family val="1"/>
      </rPr>
      <t>SMPT4</t>
    </r>
  </si>
  <si>
    <r>
      <rPr>
        <sz val="7"/>
        <rFont val="Calibri"/>
        <family val="1"/>
      </rPr>
      <t>AB CHANCE PS150</t>
    </r>
  </si>
  <si>
    <r>
      <rPr>
        <b/>
        <sz val="8.5"/>
        <rFont val="Calibri"/>
        <family val="1"/>
      </rPr>
      <t>SMPT5</t>
    </r>
  </si>
  <si>
    <r>
      <rPr>
        <sz val="7"/>
        <rFont val="Calibri"/>
        <family val="1"/>
      </rPr>
      <t>AB CHANCE PS250</t>
    </r>
  </si>
  <si>
    <r>
      <rPr>
        <b/>
        <sz val="8.5"/>
        <rFont val="Calibri"/>
        <family val="1"/>
      </rPr>
      <t>SMPT6</t>
    </r>
  </si>
  <si>
    <r>
      <rPr>
        <sz val="7"/>
        <rFont val="Calibri"/>
        <family val="1"/>
      </rPr>
      <t>AB CHANCE PS350</t>
    </r>
  </si>
  <si>
    <r>
      <rPr>
        <b/>
        <sz val="8.5"/>
        <rFont val="Calibri"/>
        <family val="1"/>
      </rPr>
      <t>TP</t>
    </r>
  </si>
  <si>
    <r>
      <rPr>
        <sz val="7"/>
        <rFont val="Calibri"/>
        <family val="1"/>
      </rPr>
      <t>AB CHANCE 7130</t>
    </r>
  </si>
  <si>
    <r>
      <rPr>
        <sz val="7"/>
        <rFont val="Calibri"/>
        <family val="1"/>
      </rPr>
      <t>AB CHANCE 508754</t>
    </r>
  </si>
  <si>
    <r>
      <rPr>
        <b/>
        <sz val="8.5"/>
        <rFont val="Calibri"/>
        <family val="1"/>
      </rPr>
      <t>TR1</t>
    </r>
  </si>
  <si>
    <r>
      <rPr>
        <sz val="7"/>
        <rFont val="Calibri"/>
        <family val="1"/>
      </rPr>
      <t>ABB TIPO S</t>
    </r>
  </si>
  <si>
    <r>
      <rPr>
        <b/>
        <sz val="8.5"/>
        <rFont val="Calibri"/>
        <family val="1"/>
      </rPr>
      <t>TR2</t>
    </r>
  </si>
  <si>
    <r>
      <rPr>
        <b/>
        <sz val="8.5"/>
        <rFont val="Calibri"/>
        <family val="1"/>
      </rPr>
      <t>TR3</t>
    </r>
  </si>
  <si>
    <r>
      <rPr>
        <b/>
        <sz val="8.5"/>
        <rFont val="Calibri"/>
        <family val="1"/>
      </rPr>
      <t>TR4</t>
    </r>
  </si>
  <si>
    <r>
      <rPr>
        <b/>
        <sz val="8.5"/>
        <rFont val="Calibri"/>
        <family val="1"/>
      </rPr>
      <t>TR5</t>
    </r>
  </si>
  <si>
    <r>
      <rPr>
        <b/>
        <sz val="8.5"/>
        <rFont val="Calibri"/>
        <family val="1"/>
      </rPr>
      <t>TR6</t>
    </r>
  </si>
  <si>
    <r>
      <rPr>
        <b/>
        <sz val="8.5"/>
        <rFont val="Calibri"/>
        <family val="1"/>
      </rPr>
      <t>TR7</t>
    </r>
  </si>
  <si>
    <r>
      <rPr>
        <b/>
        <sz val="8.5"/>
        <rFont val="Calibri"/>
        <family val="1"/>
      </rPr>
      <t>TR8</t>
    </r>
  </si>
  <si>
    <r>
      <rPr>
        <b/>
        <sz val="8.5"/>
        <rFont val="Calibri"/>
        <family val="1"/>
      </rPr>
      <t>TR9</t>
    </r>
  </si>
  <si>
    <r>
      <rPr>
        <b/>
        <sz val="8.5"/>
        <rFont val="Calibri"/>
        <family val="1"/>
      </rPr>
      <t>TR10</t>
    </r>
  </si>
  <si>
    <r>
      <rPr>
        <b/>
        <sz val="8.5"/>
        <rFont val="Calibri"/>
        <family val="1"/>
      </rPr>
      <t>TR11</t>
    </r>
  </si>
  <si>
    <r>
      <rPr>
        <b/>
        <sz val="8.5"/>
        <rFont val="Calibri"/>
        <family val="1"/>
      </rPr>
      <t>TR12</t>
    </r>
  </si>
  <si>
    <r>
      <rPr>
        <b/>
        <sz val="8.5"/>
        <rFont val="Calibri"/>
        <family val="1"/>
      </rPr>
      <t>TR13</t>
    </r>
  </si>
  <si>
    <r>
      <rPr>
        <b/>
        <sz val="8.5"/>
        <rFont val="Calibri"/>
        <family val="1"/>
      </rPr>
      <t>TR14</t>
    </r>
  </si>
  <si>
    <r>
      <rPr>
        <b/>
        <sz val="8.5"/>
        <rFont val="Calibri"/>
        <family val="1"/>
      </rPr>
      <t>TR15</t>
    </r>
  </si>
  <si>
    <r>
      <rPr>
        <b/>
        <sz val="8.5"/>
        <rFont val="Calibri"/>
        <family val="1"/>
      </rPr>
      <t>TR16</t>
    </r>
  </si>
  <si>
    <r>
      <rPr>
        <b/>
        <sz val="8.5"/>
        <rFont val="Calibri"/>
        <family val="1"/>
      </rPr>
      <t>TGL1</t>
    </r>
  </si>
  <si>
    <r>
      <rPr>
        <b/>
        <sz val="8.5"/>
        <rFont val="Calibri"/>
        <family val="1"/>
      </rPr>
      <t>TGL2</t>
    </r>
  </si>
  <si>
    <r>
      <rPr>
        <b/>
        <sz val="8.5"/>
        <rFont val="Calibri"/>
        <family val="1"/>
      </rPr>
      <t>TO1</t>
    </r>
  </si>
  <si>
    <r>
      <rPr>
        <sz val="7"/>
        <rFont val="Calibri"/>
        <family val="1"/>
      </rPr>
      <t>AB CHNACE 6502</t>
    </r>
  </si>
  <si>
    <r>
      <rPr>
        <b/>
        <sz val="8.5"/>
        <rFont val="Calibri"/>
        <family val="1"/>
      </rPr>
      <t>TO2</t>
    </r>
  </si>
  <si>
    <r>
      <rPr>
        <sz val="7"/>
        <rFont val="Calibri"/>
        <family val="1"/>
      </rPr>
      <t>AB CHANCE 6510</t>
    </r>
  </si>
  <si>
    <r>
      <rPr>
        <b/>
        <sz val="8.5"/>
        <rFont val="Calibri"/>
        <family val="1"/>
      </rPr>
      <t>TO3</t>
    </r>
  </si>
  <si>
    <r>
      <rPr>
        <sz val="7"/>
        <rFont val="Calibri"/>
        <family val="1"/>
      </rPr>
      <t>AB CHANCE 0100</t>
    </r>
  </si>
  <si>
    <r>
      <rPr>
        <b/>
        <sz val="8.5"/>
        <rFont val="Calibri"/>
        <family val="1"/>
      </rPr>
      <t>VA1</t>
    </r>
  </si>
  <si>
    <r>
      <rPr>
        <sz val="7"/>
        <rFont val="Calibri"/>
        <family val="1"/>
      </rPr>
      <t>AB CHANCE 5316</t>
    </r>
  </si>
  <si>
    <r>
      <rPr>
        <b/>
        <sz val="8.5"/>
        <rFont val="Calibri"/>
        <family val="1"/>
      </rPr>
      <t>VA2</t>
    </r>
  </si>
  <si>
    <r>
      <rPr>
        <sz val="7"/>
        <rFont val="Calibri"/>
        <family val="1"/>
      </rPr>
      <t>AB CHANCE 5317</t>
    </r>
  </si>
  <si>
    <r>
      <rPr>
        <b/>
        <sz val="8.5"/>
        <rFont val="Calibri"/>
        <family val="1"/>
      </rPr>
      <t>VA3</t>
    </r>
  </si>
  <si>
    <r>
      <rPr>
        <sz val="7"/>
        <rFont val="Calibri"/>
        <family val="1"/>
      </rPr>
      <t>AB CHANCE 5347</t>
    </r>
  </si>
  <si>
    <r>
      <rPr>
        <b/>
        <sz val="8.5"/>
        <rFont val="Calibri"/>
        <family val="1"/>
      </rPr>
      <t>VAP1</t>
    </r>
  </si>
  <si>
    <r>
      <rPr>
        <sz val="7"/>
        <rFont val="Calibri"/>
        <family val="1"/>
      </rPr>
      <t>PREFORMED MG-0131/MG-0314</t>
    </r>
  </si>
  <si>
    <r>
      <rPr>
        <b/>
        <sz val="8.5"/>
        <rFont val="Calibri"/>
        <family val="1"/>
      </rPr>
      <t>VAP2</t>
    </r>
  </si>
  <si>
    <r>
      <rPr>
        <sz val="7"/>
        <rFont val="Calibri"/>
        <family val="1"/>
      </rPr>
      <t>PREFORMED  MG-0135/MG-0318</t>
    </r>
  </si>
  <si>
    <r>
      <rPr>
        <b/>
        <sz val="8.5"/>
        <rFont val="Calibri"/>
        <family val="1"/>
      </rPr>
      <t>VAP3</t>
    </r>
  </si>
  <si>
    <r>
      <rPr>
        <sz val="7"/>
        <rFont val="Calibri"/>
        <family val="1"/>
      </rPr>
      <t>PREFORMED  MG-0139/MG-0322</t>
    </r>
  </si>
  <si>
    <r>
      <rPr>
        <b/>
        <sz val="8.5"/>
        <rFont val="Calibri"/>
        <family val="1"/>
      </rPr>
      <t>VAP4</t>
    </r>
  </si>
  <si>
    <r>
      <rPr>
        <sz val="7"/>
        <rFont val="Calibri"/>
        <family val="1"/>
      </rPr>
      <t>PREFORMED  MG-0144/MG-0327</t>
    </r>
  </si>
  <si>
    <r>
      <rPr>
        <b/>
        <sz val="8.5"/>
        <rFont val="Calibri"/>
        <family val="1"/>
      </rPr>
      <t>VAP5</t>
    </r>
  </si>
  <si>
    <r>
      <rPr>
        <sz val="7"/>
        <rFont val="Calibri"/>
        <family val="1"/>
      </rPr>
      <t>PREFORMED  MG-0150/MG-0333</t>
    </r>
  </si>
  <si>
    <r>
      <rPr>
        <b/>
        <sz val="8.5"/>
        <rFont val="Calibri"/>
        <family val="1"/>
      </rPr>
      <t>VAP6</t>
    </r>
  </si>
  <si>
    <r>
      <rPr>
        <sz val="7"/>
        <rFont val="Calibri"/>
        <family val="1"/>
      </rPr>
      <t>PREFORMED GDE-2104</t>
    </r>
  </si>
  <si>
    <r>
      <rPr>
        <b/>
        <sz val="8.5"/>
        <rFont val="Calibri"/>
        <family val="1"/>
      </rPr>
      <t>VAP7</t>
    </r>
  </si>
  <si>
    <r>
      <rPr>
        <sz val="7"/>
        <rFont val="Calibri"/>
        <family val="1"/>
      </rPr>
      <t>PREFORMED GDE-2106</t>
    </r>
  </si>
  <si>
    <r>
      <rPr>
        <b/>
        <sz val="8.5"/>
        <rFont val="Calibri"/>
        <family val="1"/>
      </rPr>
      <t>VAP8</t>
    </r>
  </si>
  <si>
    <r>
      <rPr>
        <sz val="7"/>
        <rFont val="Calibri"/>
        <family val="1"/>
      </rPr>
      <t>PREFORMED GDE-2107</t>
    </r>
  </si>
  <si>
    <r>
      <rPr>
        <b/>
        <sz val="8.5"/>
        <rFont val="Calibri"/>
        <family val="1"/>
      </rPr>
      <t>VPT</t>
    </r>
  </si>
  <si>
    <r>
      <rPr>
        <sz val="7"/>
        <rFont val="Calibri"/>
        <family val="1"/>
      </rPr>
      <t>AB CHANCE 8578</t>
    </r>
  </si>
  <si>
    <t>Poste de Madera de 30'</t>
  </si>
  <si>
    <t>Poste de Madera de 35'</t>
  </si>
  <si>
    <t>Poste de Madera de 40'</t>
  </si>
  <si>
    <t>Poste de Madera de 45'</t>
  </si>
  <si>
    <t>25A25</t>
  </si>
  <si>
    <t>28A28</t>
  </si>
  <si>
    <t>KDR05</t>
  </si>
  <si>
    <t>Calibre</t>
  </si>
  <si>
    <t>Código</t>
  </si>
  <si>
    <t>Descripción</t>
  </si>
  <si>
    <t>A, TM, TH, ER</t>
  </si>
  <si>
    <t>33R33R</t>
  </si>
  <si>
    <t>Estructuras aplicables</t>
  </si>
  <si>
    <t>25A2</t>
  </si>
  <si>
    <t>28A2</t>
  </si>
  <si>
    <t>28A25</t>
  </si>
  <si>
    <t>266.8 MCM</t>
  </si>
  <si>
    <t>33R28R</t>
  </si>
  <si>
    <t>33R26U</t>
  </si>
  <si>
    <t>26R8U</t>
  </si>
  <si>
    <t>CONECTOR DE COMPRESIÓN YC 25A25 (1/0-1/0)</t>
  </si>
  <si>
    <t>CONECTOR DE COMPRESIÓN YC 25A2 (1/0-2)</t>
  </si>
  <si>
    <t>CONECTOR DE COMPRESIÓN YC 28A2 (3/0-2)</t>
  </si>
  <si>
    <t>CONECTOR DE COMPRESIÓN YC 28A25 (3/0-1/0)</t>
  </si>
  <si>
    <t>CONECTOR DE COMPRESIÓN YC 28A28 (3/0-3/0)</t>
  </si>
  <si>
    <t>CONECTOR DE COMPRESIÓN KDR05 (266.8-3/0)</t>
  </si>
  <si>
    <t>CONECTOR DE COMPRESIÓN YPC 33R28R (266.8-2/0)</t>
  </si>
  <si>
    <t>CONECTOR DE COMPRESIÓN YPC 33R26U (266.8-1/0)</t>
  </si>
  <si>
    <t>CONECTOR DE COMPRESIÓN YPC 33R28R (266.8-3/0)</t>
  </si>
  <si>
    <t>CONECTOR DE COMPRESIÓN YPC 33R33R (266.8-266.8)</t>
  </si>
  <si>
    <t>COD. ENEE</t>
  </si>
  <si>
    <t xml:space="preserve"> C/U</t>
  </si>
  <si>
    <t>TG1</t>
  </si>
  <si>
    <t>Poste</t>
  </si>
  <si>
    <t>LB</t>
  </si>
  <si>
    <t>TS-75 KVA</t>
  </si>
  <si>
    <t>Retenida Sencilla</t>
  </si>
  <si>
    <t>Retenida Doble</t>
  </si>
  <si>
    <t>Retenida Solo Cable</t>
  </si>
  <si>
    <t>Retenida de Banco</t>
  </si>
  <si>
    <t>Pie de Amigo</t>
  </si>
  <si>
    <t>Pie de Amigo Tubular</t>
  </si>
  <si>
    <t>Estructura Secundaria dos Fase + Hilo Piloto en Tangente (0º - 5º)</t>
  </si>
  <si>
    <t>Estructura Secundaria dos Fase + Hilo Piloto en ángulo (5º - 30º)</t>
  </si>
  <si>
    <t>Estructura Secundaria dos Fase + Hilo Piloto en remate.</t>
  </si>
  <si>
    <t>Estructura Secundaria dos Fases + Hilo Piloto en Remate a 180° de remate existente.</t>
  </si>
  <si>
    <t>Estructura Secundaria dos Fases + Hilo Piloto en Remate a 90° de remate existente.</t>
  </si>
  <si>
    <t>Estructura Secundaria dos Fases + Hilo Piloto en Remate y remate de neutro a 180°.</t>
  </si>
  <si>
    <t>Estructura Secundaria dos Fases + Hilo Piloto en Remate y remate de neutro a 90°.</t>
  </si>
  <si>
    <t>Estructura Secundaria dos Fases + Hilo Piloto en Remate y remate de neutro acerado a 180°.</t>
  </si>
  <si>
    <t>Estructura Secundaria dos Fases + Hilo Piloto en Remate y remate de neutro acerado a 90°.</t>
  </si>
  <si>
    <t>Estructura Secundaria dos Fases + Hilo Piloto en doble Remate (0°-60°).</t>
  </si>
  <si>
    <t>Estructura Secundaria dos Fases + Hilo Piloto en doble Remate (60°-90°).</t>
  </si>
  <si>
    <t>Estructura Secundaria dos Fases + Hilo Piloto en doble Remate (60°-90°) y remate de neutro.</t>
  </si>
  <si>
    <t>Estructura Secundaria dos Fases + Hilo Piloto en doble Remate (60°-90°) y remate de neutro acerado.</t>
  </si>
  <si>
    <t>Estructura Secundaria dos Fases + Hilo Piloto de paso (0°-30°) y derivación al frente a 90°.</t>
  </si>
  <si>
    <t>Estructura Secundaria dos Fases + Hilo Piloto de paso (0°-30°) y derivación atrás a 90°.</t>
  </si>
  <si>
    <t>Estructura Secundaria dos Fases + Hilo Piloto en doble paso a 90°.</t>
  </si>
  <si>
    <t>Estructura Secundaria dos Fases + Hilo Piloto en triple remate.</t>
  </si>
  <si>
    <t>Estructura Secundaria dos Fases en Tangente (0º - 5º)</t>
  </si>
  <si>
    <t>Estructura Secundaria dos Fases en ángulo (5º - 30º)</t>
  </si>
  <si>
    <t>Estructura Secundaria dos Fases en remate.</t>
  </si>
  <si>
    <t>Estructura Secundaria dos Fases en Remate a 180° de remate existente.</t>
  </si>
  <si>
    <t>Estructura Secundaria dos Fases en Remate a 90° de remate existente.</t>
  </si>
  <si>
    <t>Estructura Secundaria dos Fases en Remate y remate de neutro a 180°.</t>
  </si>
  <si>
    <t>Estructura Secundaria dos Fases en Remate y remate de neutro a 90°.</t>
  </si>
  <si>
    <t>Estructura Secundaria dos Fases en Remate y remate de neutro acerado a 180°.</t>
  </si>
  <si>
    <t>Estructura Secundaria dos Fases en Remate y remate de neutro acerado a 90°.</t>
  </si>
  <si>
    <t>Estructura Neutro de Remate Cable Acerado a 180º de Neutro de Remate Cable ACSR Existente</t>
  </si>
  <si>
    <t>Estructura Neutro de Remate a 90º de Neutro de Paso Existente (Cable ACSR)</t>
  </si>
  <si>
    <t>Estructura Neutro de Remate a 180º de Neutro de Remate Existente (Cable ACSR)</t>
  </si>
  <si>
    <t>Estructura Neutro de Remate Remate Cable Acerado</t>
  </si>
  <si>
    <t>Estructura Neutro de Remate Cable Acerado a 90º de Neutro de Paso Cable ACSR Existente</t>
  </si>
  <si>
    <t>Estructura Neutro de Remate a 90º de Neutro de Remate Existente (Cable ACSR)</t>
  </si>
  <si>
    <t>Estructura Neutro de Remate Cable Acerado a 90º de Neutro de Remate Cable ACSR Existente</t>
  </si>
  <si>
    <t>Estructura Neutro Doble Remate Cable ACSR (0º-60º)</t>
  </si>
  <si>
    <t>Estructura Neutro Doble Remate ACSR-Cable Acerado (0º-60º)</t>
  </si>
  <si>
    <t>Estructura Neutro Doble Remate Cable Acerado (0º-60º)</t>
  </si>
  <si>
    <t>Estructura Neutro Doble Remate a 90º (Cable ACSR)</t>
  </si>
  <si>
    <t>Estructura Neutro Doble Remate ACSR - Cable Acerado a 90º</t>
  </si>
  <si>
    <t>Estructura Neutro Doble Remate Cable Acerado 90º</t>
  </si>
  <si>
    <t>Estructura Neutro en Tangente (0º-30º) y Derivación al Frente a 90° (Cable ACSR)</t>
  </si>
  <si>
    <t>LL1</t>
  </si>
  <si>
    <t>Cuchilla Portafusible de Porcelana 100 Amp. Normal</t>
  </si>
  <si>
    <t>Cuchilla Portafusible de Porcelana 100 Amp, Apertura Bajo Carga</t>
  </si>
  <si>
    <t>2F+HP+N</t>
  </si>
  <si>
    <t>N</t>
  </si>
  <si>
    <t>Protección</t>
  </si>
  <si>
    <t>Poste Tubular</t>
  </si>
  <si>
    <t>COD.ENEE</t>
  </si>
  <si>
    <t>MATERIALES</t>
  </si>
  <si>
    <t>UNIDAD</t>
  </si>
  <si>
    <t>34.5 kV</t>
  </si>
  <si>
    <t>13.8 kV</t>
  </si>
  <si>
    <t>TS-50KVA</t>
  </si>
  <si>
    <t>Luminaria</t>
  </si>
  <si>
    <t>DESCRIPCIÓN DE MATERIALES</t>
  </si>
  <si>
    <t>Abrazadera Doble Ajustable de 4 1/2"</t>
  </si>
  <si>
    <t>Abrazadera Simple Ajustable de 6"</t>
  </si>
  <si>
    <t>Abrazadera Doble Ajustable de 6"</t>
  </si>
  <si>
    <t>Aislador de Carrete ANSI C 53-2</t>
  </si>
  <si>
    <t>Aislador de Espiga ANSI C 56-3</t>
  </si>
  <si>
    <t>Aislador de Espiga ANSI C 55-4</t>
  </si>
  <si>
    <t>Aislador de Suspensión ANSI C 52-9</t>
  </si>
  <si>
    <t>Aislador de Suspensión ANSI C 52-4</t>
  </si>
  <si>
    <t>Aislador de Tensión ANSI C 54-1</t>
  </si>
  <si>
    <t>ARE1</t>
  </si>
  <si>
    <t>ARE2</t>
  </si>
  <si>
    <t>ARE3</t>
  </si>
  <si>
    <t>Aislador de Tensión ANSI C 54-2</t>
  </si>
  <si>
    <t>Aislador de Tensión ANSI C 54-3</t>
  </si>
  <si>
    <t>AB CHANCE C909-1041</t>
  </si>
  <si>
    <t>AB CHANCE C909-1043</t>
  </si>
  <si>
    <t>Aislador Polímero tipo Suspensión para 13.8 KV., IEC 815</t>
  </si>
  <si>
    <t>Aislador Polímero tipo Suspensión para 34.5 KV., IEC 815</t>
  </si>
  <si>
    <t>Aislador Polímero tipo Espiga para 13.8 KV ANSI C 55-4</t>
  </si>
  <si>
    <t>Aislador Polímero tipo Espiga para 34.5 KV ANSI C 55-7</t>
  </si>
  <si>
    <t>Aislador Polímero tipo Suspensión par 13.8 KV ANSI C 29.18</t>
  </si>
  <si>
    <t>Aislador Polímero tipo Suspensión par 34.5 KV ANSI C 29.18</t>
  </si>
  <si>
    <t>Bastidor de una Línea</t>
  </si>
  <si>
    <t>Bastidor de Tres Líneas</t>
  </si>
  <si>
    <t>Bastidor de Cuatro Líneas</t>
  </si>
  <si>
    <t>BL1</t>
  </si>
  <si>
    <t>BL2</t>
  </si>
  <si>
    <t>BL3</t>
  </si>
  <si>
    <t>BL4</t>
  </si>
  <si>
    <t>Balastro para Lámpara 100 W ANSI S54</t>
  </si>
  <si>
    <t>Balastro para Lámpara 250 W ANSI S50</t>
  </si>
  <si>
    <t>Balastro para Lámpara 400 W ANSI S51</t>
  </si>
  <si>
    <t>Balastro para Lámpara 1,000 W ANSI S52</t>
  </si>
  <si>
    <t>BML1</t>
  </si>
  <si>
    <t>BML2</t>
  </si>
  <si>
    <t>BML3</t>
  </si>
  <si>
    <t>Arandela Cuadrada 3/16" x 2-1/4" x 2-1/4", Ø=11/16"</t>
  </si>
  <si>
    <t>Bayoneta Recta para Soporte de Hilo de Guarda, 17"</t>
  </si>
  <si>
    <t>Bayoneta Recta para Soporte de Hilo de Guarda, 48"</t>
  </si>
  <si>
    <t>Bayoneta Recta para Soporte de Hilo de Guarda, 61"</t>
  </si>
  <si>
    <t>Bayoneta Angular para Soporte de Hilo de Guarda, 48"</t>
  </si>
  <si>
    <t>Bayoneta Angular para Soporte de Hilo de Guarda, 61"</t>
  </si>
  <si>
    <t>Bayoneta Angular para Soporte de Hilo de Guarda, 62"</t>
  </si>
  <si>
    <t>Camisa de Hierro Galvanizado para Tubo de 4" Ø</t>
  </si>
  <si>
    <t>Cinta Aislante</t>
  </si>
  <si>
    <t>Conector de Compresión de Cobre tipo YG C6C6</t>
  </si>
  <si>
    <t>Conector de Compresión YC 4A4</t>
  </si>
  <si>
    <t>Conector de Compresión YC 2A2</t>
  </si>
  <si>
    <t>Conector de Compresión YC 25A25 (1/0-1/0)</t>
  </si>
  <si>
    <t>Conector de Compresión YC 25A2 (1/0-2)</t>
  </si>
  <si>
    <t>Conector de Compresión YC 28A2 (3/0-2)</t>
  </si>
  <si>
    <t>Conector de Compresión YC 28A25 (3/0-1/0)</t>
  </si>
  <si>
    <t>Conector de Compresión YC 28A28 (3/0-3/0)</t>
  </si>
  <si>
    <t>Conector de Compresión KDR05 (266.8-3/0)</t>
  </si>
  <si>
    <t>Conector de Compresión YPC 33R28R (266.8-2/0)</t>
  </si>
  <si>
    <t>Conector de Compresión YPC 33R26U (266.8-1/0)</t>
  </si>
  <si>
    <t>Conector de Compresión YPC 33R28R (266.8-3/0)</t>
  </si>
  <si>
    <t>Conector de Compresión YPC 26R8U</t>
  </si>
  <si>
    <t>Conector de Compresión YPC 33R33R (266.8-266.8)</t>
  </si>
  <si>
    <t>Conector de Compresión YHN-525 (4/0-477)</t>
  </si>
  <si>
    <t>Conector de Compresión YPC 40A40 (556.5-795)</t>
  </si>
  <si>
    <t>Conector de Compresión Bimetálico 6 - 6</t>
  </si>
  <si>
    <t>Conector de Compresión Bimetálico 1/0 - 6</t>
  </si>
  <si>
    <t>Conector de Compresión Bimetálico 2 - 4</t>
  </si>
  <si>
    <t>Conector de Compresión Bimetálico 3/0 - 6</t>
  </si>
  <si>
    <t>Conector para Cable Acerado</t>
  </si>
  <si>
    <t>Conector Terminal de Pin Cable 3/0</t>
  </si>
  <si>
    <t>Conector Terminal de Pin Cable 266.8</t>
  </si>
  <si>
    <t>Conector Terminal de Pin Cable 477</t>
  </si>
  <si>
    <t>Conector Terminal de Pin Cable 556.5</t>
  </si>
  <si>
    <t>Conector Varilla de Aterrizaje de Ø=5/8"</t>
  </si>
  <si>
    <t>Crucete de Madera Curada de 4" x 5" x 48"</t>
  </si>
  <si>
    <t>Crucete de Madera Curada de 4" x 5" x 96"</t>
  </si>
  <si>
    <t>Crucete de Madera Curada de 4" x 5" x 96" /Voladizo</t>
  </si>
  <si>
    <t>Crucete de Madera Curada de 4" x 5" x 120"</t>
  </si>
  <si>
    <t>Crucete de Madera Curada de 5" x 6" x 240"</t>
  </si>
  <si>
    <t>Cuchilla Portafusible de Porcelana 100 AMP. Normal, 13.8 KV</t>
  </si>
  <si>
    <t>Cuchilla Portafusible de Porcelana 100 AMP. Normal, 34.5 KV.</t>
  </si>
  <si>
    <t>Cuchilla Portafusible de Polimero 100 AMP., 13.8 KV.</t>
  </si>
  <si>
    <t>Cuchilla Portafusible de Polimero 100 AMP., 34.5 KV.</t>
  </si>
  <si>
    <t>Espiga para Cruceta de Madera, L=6" Rosca 1", Φ = 3/4"</t>
  </si>
  <si>
    <t>Espiga para Cruceta de Madera, L=8" Rosca 1-3/8", Φ = 3/4"</t>
  </si>
  <si>
    <t>Espiga Punta de Poste tipo Recta, 13.8 KV, L=18" Rosca 1"</t>
  </si>
  <si>
    <t>Espiga Punta de Poste tipo Recta, 34.5 KV, L=20" Rosca 1-3/8"</t>
  </si>
  <si>
    <t>Espiga para Punta de Poste tipo Escuadra, 34.5 KV, L=21" Rosca 1-3/8"</t>
  </si>
  <si>
    <t>Estribo de Tornillo para Conexión Linea Viva (4 - 4/0)</t>
  </si>
  <si>
    <t>Estribo de Tornillo para Conexión Linea Viva (4/0 - 556)</t>
  </si>
  <si>
    <t>Estribo de Compresion para Conexión Linea Viva (4 - 4/0)</t>
  </si>
  <si>
    <t>Estribo de Compresion para Conexión Linea Viva (3/0 - 477)</t>
  </si>
  <si>
    <t>Fusible Cinta Universal de (X) AMP. tipo Slofast</t>
  </si>
  <si>
    <t>Fusible Cinta Universal de (X) AMP. tipo K</t>
  </si>
  <si>
    <t>Fusible Cinta Universal de (X) AMP. tipo T</t>
  </si>
  <si>
    <t>Grapa para Linea Viva</t>
  </si>
  <si>
    <t>Grapa de Suspensión para Conductor (1/0- 477)</t>
  </si>
  <si>
    <t>Grapa de Suspensión para Guarda, Ø=1/4"</t>
  </si>
  <si>
    <t>Grapa Galvanizada de 1-1/4" (Lb.)</t>
  </si>
  <si>
    <t>Grapa Terminal tipo Escuadra para Conductor (2 - 4/0)</t>
  </si>
  <si>
    <t>Grapa Terminal tipo Escuadra para Conductor (3/0 - 556)</t>
  </si>
  <si>
    <t>Grapa Terminal tipo Recto Cable de Guarda, Ø=1/4"</t>
  </si>
  <si>
    <t>Grapa Terminal tipo Recto para Conductor (1/0 - 4/0)</t>
  </si>
  <si>
    <t>Grapa Terminal tipo Recto para Conductor (266.8 - 556 MCM)</t>
  </si>
  <si>
    <t>Junta de Empalme para Puentes (Jumper)</t>
  </si>
  <si>
    <t>Junta de Empalme para Reparacion</t>
  </si>
  <si>
    <t>Lámpara de Sodio de 100 Watts, Completa con Fotocelda</t>
  </si>
  <si>
    <t>Lámpara de Sodio de 100 Watts, Completa sin Fotocelda</t>
  </si>
  <si>
    <t>Lámpara de Sodio de 250 Watts, Completa con Fotocelda</t>
  </si>
  <si>
    <t>Lámpara de Sodio de 250 Watts, Completa sin Fotocelda</t>
  </si>
  <si>
    <t>Lámpara de Sodio de 400 Watts, Completa con Fotocelda</t>
  </si>
  <si>
    <t>Lámpara de Sodio de 400 Watts, Completa sin Fotocelda</t>
  </si>
  <si>
    <t>Lámpara LED tipo Cobra de 28 a 50 Watts, Completa con Fotocelda</t>
  </si>
  <si>
    <t>Pararrayo de Porcelana de 10 KV.</t>
  </si>
  <si>
    <t>Pararrayo de Porcelana de 27 KV.</t>
  </si>
  <si>
    <t>Pararayo de Polimero para 10 KV IEEE C62.11</t>
  </si>
  <si>
    <t>Pararayo de Polimero para 27 KV IEEE C62.11</t>
  </si>
  <si>
    <t>Perno de Acero Inoxidable 1/2" x 2"</t>
  </si>
  <si>
    <t>Perno de Carroceria 3/8" x 5"</t>
  </si>
  <si>
    <t>Perno de Máquina de 5/8" x 8"</t>
  </si>
  <si>
    <t>Perno de Máquina de 5/8" x 10"</t>
  </si>
  <si>
    <t>Perno de Máquina de 5/8" x 12"</t>
  </si>
  <si>
    <t>Perno de Máquina de 5/8" x 14"</t>
  </si>
  <si>
    <t>Perno de Máquina de 5/8" x 16"</t>
  </si>
  <si>
    <t>Perno de Máquina de 5/8" x 18"</t>
  </si>
  <si>
    <t>Perno de Máquina de 5/8" x 20"</t>
  </si>
  <si>
    <t>Perno de Máquina de 5/8" x 22"</t>
  </si>
  <si>
    <t>Perno de Máquina de 5/8" x 24"</t>
  </si>
  <si>
    <t>Perno Recto de Ojo de 5/8" x 12"</t>
  </si>
  <si>
    <t>Perno Recto de Ojo con Eslabón de 5/8" x 12"</t>
  </si>
  <si>
    <t>Perno Curvo de Ojo con Guardacabo de 5/8" x 10"</t>
  </si>
  <si>
    <t>Perno Curvo de Ojo con Guardacabo de 5/8" x 12"</t>
  </si>
  <si>
    <t>Perno Recto de Ojo con Guardacabo de 5/8" x 12"</t>
  </si>
  <si>
    <t>Perno de Rosca Corrida 5/8" x 12"</t>
  </si>
  <si>
    <t>Perno de Rosca Corrida 5/8" x 14"</t>
  </si>
  <si>
    <t>Perno de Rosca Corrida 5/8" x 16"</t>
  </si>
  <si>
    <t>Perno de Rosca Corrida 5/8" x 18"</t>
  </si>
  <si>
    <t>Perno de Rosca Corrida 5/8" x 20"</t>
  </si>
  <si>
    <t>Perno de Rosca Corrida 5/8" x 22"</t>
  </si>
  <si>
    <t>Perno de Rosca Corrida 5/8" x 24"</t>
  </si>
  <si>
    <t>Perno para Carcaza de Transformador</t>
  </si>
  <si>
    <t>Placa de Refuerzo 3/16" x 4" x 5", Ø=13/16"</t>
  </si>
  <si>
    <t>Placa de Refuerzo 1/4" x 6" x 8", Ø=15/16"</t>
  </si>
  <si>
    <t>Placa Separadora de Crucete 3/16" x 4" x 5", Ø=13/16"</t>
  </si>
  <si>
    <t>Plato de Anclaje 16" x 16"</t>
  </si>
  <si>
    <t>Plato de Anclaje 20" x 20"</t>
  </si>
  <si>
    <t>Pletina Espaciadora para Crucete Madera 1/2" x 4" x 24"</t>
  </si>
  <si>
    <t>Poste de Concreto de 30'.</t>
  </si>
  <si>
    <t>Poste de Concreto de 35'.</t>
  </si>
  <si>
    <t>Poste de Concreto de 40'.</t>
  </si>
  <si>
    <t>Poste de Concreto de 45'.</t>
  </si>
  <si>
    <t>Poste de Concreto de 30 Pies Autosoportado.</t>
  </si>
  <si>
    <t>Poste de Concreto de 35 Pies Autosoportado.</t>
  </si>
  <si>
    <t>Poste de Concreto de 40 Pies Autosoportado.</t>
  </si>
  <si>
    <t>Poste de Concreto de 45 Pies Autosoportado.</t>
  </si>
  <si>
    <t>Poste de Tubular de 30 Pies.</t>
  </si>
  <si>
    <t>Poste de Tubular de 35 Pies.</t>
  </si>
  <si>
    <t>Poste de Tubular de 40 Pies.</t>
  </si>
  <si>
    <t>Poste de Tubular de 45 Pies.</t>
  </si>
  <si>
    <t>Puntal Angular de 50", 1-3/4" x 1-3/4" x 3/16"</t>
  </si>
  <si>
    <t>Puntal Angular de 60", 1-3/4" x 1-3/4" x 3/16"</t>
  </si>
  <si>
    <t>Separador para Cable Triplex N° 1/0 (para Tres Lineas)</t>
  </si>
  <si>
    <t>Protector Metálico para Retenida</t>
  </si>
  <si>
    <t>Protector Plástico para Retenida</t>
  </si>
  <si>
    <t>Soporte Metalico para Montaje de un Transformador en Poste</t>
  </si>
  <si>
    <t>Soporte Metalico para Montaje de Tres Transformadores en Poste</t>
  </si>
  <si>
    <t>Tirante de Pletina de 1/4" x 1-1/4" x 30"</t>
  </si>
  <si>
    <t>Tornillo Goloso de 1/2" x 4"</t>
  </si>
  <si>
    <t>Transformador de 5 KVA, 13.8/7.9 KV., 120/240 V.</t>
  </si>
  <si>
    <t>Transformador de 5 KVA, 34.5/19.9 KV., 120/240 V.</t>
  </si>
  <si>
    <t>Transformador de 10 KVA, 13.8/7.9 KV., 120/240 V.</t>
  </si>
  <si>
    <t>Transformador de 10 KVA, 34.5/19.9 KV., 120/240 V.</t>
  </si>
  <si>
    <t>Transformador de 15 KVA, 13.8/7.9 KV., 120/240 V.</t>
  </si>
  <si>
    <t>Transformador de 15 KVA, 34.5/19.9 KV., 120/240 V.</t>
  </si>
  <si>
    <t>Transformador de 25 KVA, 13.8/7.9 KV., 120/240 V.</t>
  </si>
  <si>
    <t>Transformador de 25 KVA, 34.5/19.9 KV., 120/240 V.</t>
  </si>
  <si>
    <t>Transformador de 37.5 KVA, 13.8/7.9 KV., 120/240 V.</t>
  </si>
  <si>
    <t>Transformador de 37.5 KVA, 34.5/19.9 KV., 120/240 V.</t>
  </si>
  <si>
    <t>Transformador de 50 KVA, 13.8/7.9 KV., 120/240 V.</t>
  </si>
  <si>
    <t>Transformador de 50 KVA, 34.5/19.9 KV., 120/240 V.</t>
  </si>
  <si>
    <t>Transformador de 75 KVA, 13.8/7.9 KV., 120/240 V.</t>
  </si>
  <si>
    <t>Transformador de 75 KVA, 34.5/19.9 KV., 120/240 V.</t>
  </si>
  <si>
    <t>Transformador de 100 KVA, 13.8/7.9 KV., 120/240 V.</t>
  </si>
  <si>
    <t>Transformador de 100 KVA, 34.5/19.9 KV., 120/240 V.</t>
  </si>
  <si>
    <t>Tubo de Hierro Galvanizado de 2" Dia. x 6'</t>
  </si>
  <si>
    <t>Tubo de Hierro Galvanizado de 4" Dia. x 20'</t>
  </si>
  <si>
    <t>Tuerca de Ojo de 5/8"</t>
  </si>
  <si>
    <t>Tuerca de Ojo de 5/8" con Guardacabo</t>
  </si>
  <si>
    <t>Tuerca de Ojo Curvo de 5/8" con Guardacabo</t>
  </si>
  <si>
    <t>Varilla de Anclaje de 5/8" x 6' con Guardacabo Sencillo</t>
  </si>
  <si>
    <t>Varilla de Anclaje de 5/8" x 7' con Guardacabo Sencillo</t>
  </si>
  <si>
    <t>Varilla de Anclaje de 5/8" x 7' con Guardacabo Doble</t>
  </si>
  <si>
    <t>Varilla de Armar Preformado para Cable Acerado 1/4"</t>
  </si>
  <si>
    <t>Varilla de Armar Preformado para Cable Acerado 5/16"</t>
  </si>
  <si>
    <t>Varilla de Armar Preformado para Cable Acerado 3/8"</t>
  </si>
  <si>
    <t>Varilla Galvanizada para Polo a Tierra 5/8" x 8'</t>
  </si>
  <si>
    <t>Base y Cabezal para Tubo Galvanizado Ø=2"</t>
  </si>
  <si>
    <t>Bombillo para Lámpara de Sodio</t>
  </si>
  <si>
    <t>Cat. EYE LIGHTING</t>
  </si>
  <si>
    <t>Sin Referencia</t>
  </si>
  <si>
    <t>Cable de Aluminio Forrado 266.8 MCM Mulberry</t>
  </si>
  <si>
    <t>Cable  de Aluminio Forrado WP # 1/0 AWG Quince</t>
  </si>
  <si>
    <t>Cable  de Aluminio Forrado WP # 3/0 AWG Fig</t>
  </si>
  <si>
    <t>Cable  de Aluminio Forrado WP # 2 AWG Peach</t>
  </si>
  <si>
    <t>Cable de Aluminio ACSR # 2 AWG Sparrow</t>
  </si>
  <si>
    <t>Cable de Aluminio ACSR # 1/0 AWG Raven</t>
  </si>
  <si>
    <t>Cable de Aluminio ACSR # 2/0 AWG Quail</t>
  </si>
  <si>
    <t>Cable de Aluminio ACSR # 4/0 AWG Penguin</t>
  </si>
  <si>
    <t>Cable de Aluminio ACSR # 266.8 MCM Partridge</t>
  </si>
  <si>
    <t>Cable de Aluminio ACSR # 477 MCM Flicker</t>
  </si>
  <si>
    <t>Cable de Aluminio ACSR # 556 MCM Dove</t>
  </si>
  <si>
    <t>Cable de Aluminio AAC # 556 MCM Dahlia</t>
  </si>
  <si>
    <t>PHELPS DODGE</t>
  </si>
  <si>
    <t>Cable Bimetálico Copperweld # 6 AWG, 40%</t>
  </si>
  <si>
    <t>Cable de Cobre Forrado # 14 AWG</t>
  </si>
  <si>
    <t>Cable de Cobre Forrado # 1/0 AWG</t>
  </si>
  <si>
    <t>Cable de Cobre Forrado # 3/0 AWG</t>
  </si>
  <si>
    <t>Cable de Cobre Forrado # 4/0 AWG</t>
  </si>
  <si>
    <t>Cable de Cobre # 6 Sólido</t>
  </si>
  <si>
    <t>Cable Triplex de Aluminio # 1/0 AWG</t>
  </si>
  <si>
    <t>Cable Triplex de Aluminio # 2 AWG</t>
  </si>
  <si>
    <t>Cable Triplex de Aluminio # 6 AWG</t>
  </si>
  <si>
    <t>Control para Alumbrado Público, 32 AMP</t>
  </si>
  <si>
    <t>Control para Alumbrado Público, 65 AMP</t>
  </si>
  <si>
    <t>Control para Alumbrado Público, 100 AMP</t>
  </si>
  <si>
    <t>Control Fotoeléctrico, ANSI 136.10</t>
  </si>
  <si>
    <t>Conector de Compresión tipo “H”, 250-500 AL o 266.8-477 MCM ACSR</t>
  </si>
  <si>
    <t>Conector de Compresión tipo Plancha (3/0 ACSR)</t>
  </si>
  <si>
    <t>Conector de Compresión tipo Plancha (266.8 MCM ACSR)</t>
  </si>
  <si>
    <t>Conector de Compresión tipo Plancha (477 MCM ACSR)</t>
  </si>
  <si>
    <t>Conector de Compresión tipo "T" (266.8 MCM ACSR)</t>
  </si>
  <si>
    <t>Conector de Compresión tipo "T" (477 MCM ACSR)</t>
  </si>
  <si>
    <t>Conector de Compresión "T" (556.5 MCM ACSR)</t>
  </si>
  <si>
    <t>Conector de Compresión de Aluminio tipo “H”, 4/0-477 MCM AL o 4/0-477 ACSR</t>
  </si>
  <si>
    <t>Cuchilla Portafusible de Porcelana 100 AMP., 13.8 KV., Apertura Bajo Carga</t>
  </si>
  <si>
    <t>Cuchilla Portafusible de Porcelana 100 AMP., 34.5 KV., Apertura Bajo Carga</t>
  </si>
  <si>
    <t>Cuchilla Portafusible de Polimero 100 AMP., 13.8 KV., Apertura Bajo Carga</t>
  </si>
  <si>
    <t>Cuchilla Portafusible de Polimero 100 AMP., 34.5 KV., Apertura Bajo Carga</t>
  </si>
  <si>
    <t>Junta de Empalme para Tensión</t>
  </si>
  <si>
    <t>Medidor de Energía Electromecánico Monofásico</t>
  </si>
  <si>
    <t>Perno de Máquina de 1/2" x 10"</t>
  </si>
  <si>
    <t>PM30</t>
  </si>
  <si>
    <t>PM35</t>
  </si>
  <si>
    <t>PM40</t>
  </si>
  <si>
    <t>PM45</t>
  </si>
  <si>
    <t>PC30</t>
  </si>
  <si>
    <t>PC35</t>
  </si>
  <si>
    <t>PC40</t>
  </si>
  <si>
    <t>PC45</t>
  </si>
  <si>
    <t>PCA30</t>
  </si>
  <si>
    <t>PCA35</t>
  </si>
  <si>
    <t>PCA40</t>
  </si>
  <si>
    <t>PCA45</t>
  </si>
  <si>
    <t>PME30</t>
  </si>
  <si>
    <t>PME35</t>
  </si>
  <si>
    <t>PME40</t>
  </si>
  <si>
    <t>PME45</t>
  </si>
  <si>
    <t>Soporte Metalico para Montaje de dos Transformadores en Poste</t>
  </si>
  <si>
    <t>Soporte Metalico para Montaje de tres Transformadores en Poste</t>
  </si>
  <si>
    <t>Varilla de Armar Preformado para Cable ASCR # 2 AWG</t>
  </si>
  <si>
    <t>Varilla de Armar Preformado para Cable ASCR # 1/0 AWG</t>
  </si>
  <si>
    <t>Varilla de Armar Preformado para Cable ASCR 266.8 MCM</t>
  </si>
  <si>
    <t>Varilla de Armar Preformado para Cable AAC 477 / 556 MCM</t>
  </si>
  <si>
    <t>PM10</t>
  </si>
  <si>
    <t>Alambre de Amarre N° 6</t>
  </si>
  <si>
    <t>TS-25KVA</t>
  </si>
  <si>
    <t>TS-37.5KVA</t>
  </si>
  <si>
    <t>TS-100KVA</t>
  </si>
  <si>
    <t>TS-15KVA</t>
  </si>
  <si>
    <t>Retenida en Voladizo.</t>
  </si>
  <si>
    <t>Lámpara LED tipo Cobra de 100 Watts, Completa con Fotocelda</t>
  </si>
  <si>
    <t>LL2</t>
  </si>
  <si>
    <t>Aterrizaje</t>
  </si>
  <si>
    <t xml:space="preserve">Alumbrado </t>
  </si>
  <si>
    <t>Cortacircuitos</t>
  </si>
  <si>
    <t>Estructura Neutro en Tangente (0º-30º) y Derivación Atrás a 90° (Cable ACSR)</t>
  </si>
  <si>
    <t>Estructura Neutro en Tangente (0º-30º) y Derivación al Frente a 90° (Cable Acerado)</t>
  </si>
  <si>
    <t>Estructura Neutro en Tangente (0º-30º) y Derivación Atrás a 90° (Cable Acerado)</t>
  </si>
  <si>
    <t>Estructura para Soporte Cable de Guarda en Poste de Paso</t>
  </si>
  <si>
    <t>Estructura para Soporte Cable de Guarda en Poste en Remate</t>
  </si>
  <si>
    <t>Estructura para Soporte Cable de Guarda en Poste en Doble Remate (0°-60°)</t>
  </si>
  <si>
    <t>Estructura para Soporte Cable de Guarda en Poste en Doble Remate (60°-90°)</t>
  </si>
  <si>
    <t>Estructura para Soporte Cable de Guarda en Poste de Paso y en Remate</t>
  </si>
  <si>
    <t>Estructura para Soporte Cable de Guarda en Bayoneta Recta de Paso</t>
  </si>
  <si>
    <t>Estructura para Soporte Cable de Guarda en Bayoneta Angular de Paso</t>
  </si>
  <si>
    <t>Estructura para Soporte Cable de Guarda en Bayoneta en Remate</t>
  </si>
  <si>
    <t>Estructura para Soporte Cable de Guarda en Bayoneta en Doble Remate (0°-60°)</t>
  </si>
  <si>
    <t>Estructura para Soporte Cable de Guarda en Bayoneta en Doble Remate (60°-90°)</t>
  </si>
  <si>
    <t>Estructura para Soporte Cable de Guarda en Bayoneta de Paso y en Remate</t>
  </si>
  <si>
    <t>Acometida Subterránea de 3 Fases</t>
  </si>
  <si>
    <t>AC-SUB1</t>
  </si>
  <si>
    <t>AC-SUB2</t>
  </si>
  <si>
    <t>AC-SUB3</t>
  </si>
  <si>
    <t>Acometida Subterránea de 2 Fases</t>
  </si>
  <si>
    <t>Acometida Subterránea de 1 Fase</t>
  </si>
  <si>
    <t>Equipo de Medición y Seccionamiento de alto consumidores</t>
  </si>
  <si>
    <t xml:space="preserve">Instalación de Banco de Tres transformadores de 15 KVA. </t>
  </si>
  <si>
    <t xml:space="preserve">Instalación de Banco Abierto de dos transformadores de 75 KVA. </t>
  </si>
  <si>
    <t xml:space="preserve">Instalación de Banco Abierto de dos transformadores de 15 KVA. </t>
  </si>
  <si>
    <t xml:space="preserve">Instalación de Banco Abierto de dos transformadores de 25 KVA. </t>
  </si>
  <si>
    <t xml:space="preserve">Instalación de Banco Abierto de dos transformadores de 37.5 KVA. </t>
  </si>
  <si>
    <t xml:space="preserve">Instalación de Banco  Abierto de dos transformadores de 50 KVA. </t>
  </si>
  <si>
    <t xml:space="preserve">Instalación de Banco Abierto de dos transformadores de 100 KVA. </t>
  </si>
  <si>
    <t xml:space="preserve">Instalación de Banco de Tres transformadores de 25 KVA. </t>
  </si>
  <si>
    <t xml:space="preserve">Instalación de Banco de Tres transformadores de 37.5 KVA. </t>
  </si>
  <si>
    <t xml:space="preserve">Instalación de Banco de Tres transformadores de 50 KVA. </t>
  </si>
  <si>
    <t xml:space="preserve">Instalación de Banco de Tres transformadores de 75 KVA. </t>
  </si>
  <si>
    <t xml:space="preserve">Instalación de Banco de Tres transformadores de 100 KVA. </t>
  </si>
  <si>
    <t>CCA</t>
  </si>
  <si>
    <t>GS2</t>
  </si>
  <si>
    <t>PO2</t>
  </si>
  <si>
    <t>GT3</t>
  </si>
  <si>
    <t>PO1</t>
  </si>
  <si>
    <t>BY02</t>
  </si>
  <si>
    <t>BY04</t>
  </si>
  <si>
    <t>CCB3</t>
  </si>
  <si>
    <t>Pie</t>
  </si>
  <si>
    <t>SMPT6</t>
  </si>
  <si>
    <t>LL-1-100W</t>
  </si>
  <si>
    <t>TD-15KVA</t>
  </si>
  <si>
    <t>TD-25KVA</t>
  </si>
  <si>
    <t>TD-37.5KVA</t>
  </si>
  <si>
    <t>TD-50KVA</t>
  </si>
  <si>
    <t>TD-75KVA</t>
  </si>
  <si>
    <t>TD-100KVA</t>
  </si>
  <si>
    <t>TT-15KVA</t>
  </si>
  <si>
    <t>TT-25KVA</t>
  </si>
  <si>
    <t>TT-37.5KVA</t>
  </si>
  <si>
    <t>TT-50KVA</t>
  </si>
  <si>
    <t>TT-75KVA</t>
  </si>
  <si>
    <t>TT-100KVA</t>
  </si>
  <si>
    <t>Doble Primaria Doble Terna tres Fases en Tangente (0°-5°)</t>
  </si>
  <si>
    <t>Doble Primaria Doble Terna tres Fases en ángulo (5°-30°)</t>
  </si>
  <si>
    <t>Doble Primaria Doble Terna tres Fases en Remate</t>
  </si>
  <si>
    <t>Doble Primaria Doble Terna tres Fases en Doble Remate (0°-60°)</t>
  </si>
  <si>
    <t>Doble Primaria Doble Terna tres Fases en Doble Remate (60°-90°)</t>
  </si>
  <si>
    <t xml:space="preserve">Doble Primaria Doble Terna tres Fases en Tangente (0°-5°) con Neutro en la cruceta. </t>
  </si>
  <si>
    <t xml:space="preserve">Doble Primaria Doble Terna tres Fases en ángulo (5°-30°) con Neutro en la cruceta. </t>
  </si>
  <si>
    <t xml:space="preserve">Doble Primaria Doble Terna tres Fases en Remate con Neutro en la cruceta. </t>
  </si>
  <si>
    <t xml:space="preserve">Doble Primaria Doble Terna tres Fases en Doble Remate (0°-60°) con Neutro en la cruceta. </t>
  </si>
  <si>
    <t>Doble Primaria Doble Terna tres Fases en Doble Remate (60°-90°) con Neutro en la cruceta.</t>
  </si>
  <si>
    <t>Estructura Primaria Tipo H dos Fases en Tangente (0°-5°)</t>
  </si>
  <si>
    <t>Estructura Primaria Tipo H dos Fases en Angulo (5°-30°)</t>
  </si>
  <si>
    <t>Estructura Primaria Tipo H dos Fases en Remate</t>
  </si>
  <si>
    <t>Estructura Primaria Tipo H dos Fases en Doble Remate (0°-60°)</t>
  </si>
  <si>
    <t>Estructura Primaria Tipo H Tres Fases en Tangente (0°-5°)</t>
  </si>
  <si>
    <t>Estructura Primaria Tipo H Tres Fases en Angulo (5°-30°)</t>
  </si>
  <si>
    <t>Estructura Primaria Tipo H tres Fases en Remate</t>
  </si>
  <si>
    <t>Estructura Primaria Tipo H tres Fases en Doble Remate (0°-60°)</t>
  </si>
  <si>
    <t>Estructura Primaria para Circuito Troncal Tipo H dos Fases en Tangente (0°-5°)</t>
  </si>
  <si>
    <t>Estructura Primaria para Circuito Troncal Tipo H dos Fases en Angulo (5°-30°)</t>
  </si>
  <si>
    <t>Estructura Primaria para circuito Troncal Tipo H dos Fases en Remate</t>
  </si>
  <si>
    <t>Estructura Primaria para Circuito Troncal Tipo H dos Fases en Doble Remate (0°-60°)</t>
  </si>
  <si>
    <t>Estructura Primaria para Circuito Troncal Tipo H tres Fases en Tangente (0°-5°)</t>
  </si>
  <si>
    <t>Estructura Primaria para Circuito Troncal Tipo H tres Fases en Angulo (5°-30°)</t>
  </si>
  <si>
    <t>Estructura Primaria para circuito Troncal Tipo H tres Fases en Remate</t>
  </si>
  <si>
    <t>Estructura Primaria para Circuito Troncal Tipo H tres Fases en Doble Remate (0°-60°)</t>
  </si>
  <si>
    <t>Estructura Primaria Tipo Montaña una Fase en Tangente (0°-5°)</t>
  </si>
  <si>
    <t>Estructura Primaria Tipo Montaña una Fase en Angulo (5°-30°)</t>
  </si>
  <si>
    <t>Estructura Primaria Tipo Montaña una Fase en Paso Vértical (30°-60°)</t>
  </si>
  <si>
    <t>Estructura Primaria Tipo Montaña una Fase en Remate</t>
  </si>
  <si>
    <t>Estructura Primaria Tipo Montaña una Fase en Doble Remate (0°-60°)</t>
  </si>
  <si>
    <t>Estructura Primaria Tipo Montaña una Fase en Doble Remate (60°-90°)</t>
  </si>
  <si>
    <t>Estructura Primaria Tipo Montaña una Fase en Tangente (60°-90°) y Derivación.</t>
  </si>
  <si>
    <t>Estructura Primaria Tipo Montaña una Fase en Angulo (5°-30°) y Derivación</t>
  </si>
  <si>
    <t>Estructura Primaria Tipo Montaña dos Fases en Angulo (5°-30°)</t>
  </si>
  <si>
    <t>Estructura Primaria Tipo Montaña dos Fases en Tangente (0°-5°)</t>
  </si>
  <si>
    <t>Estructura Primaria Tipo Montaña dos Fases en Paso Vértical (30°-60°)</t>
  </si>
  <si>
    <t>Estructura Primaria Tipo Montaña dos Fases en Remate</t>
  </si>
  <si>
    <t>Estructura Primaria Tipo Montaña dos Fases en Doble Remate (0°-60°)</t>
  </si>
  <si>
    <t>Estructura Primaria Tipo Montaña dos Fases en Doble Remate (60°-90°)</t>
  </si>
  <si>
    <t>TM-II-7A</t>
  </si>
  <si>
    <t>Estructura Primaria Tipo Montaña dos Fase en Tangente (60°-90°) y dos Fases en Derivación.</t>
  </si>
  <si>
    <t>Estructura Primaria Tipo Montaña dos Fase en Tangente (60°-90°) y una Fase en Derivación.</t>
  </si>
  <si>
    <t>CCB2</t>
  </si>
  <si>
    <t>Conector de Compresión Bimetálico 2 - 6</t>
  </si>
  <si>
    <t>Estructura Rural</t>
  </si>
  <si>
    <t>ER-III-1</t>
  </si>
  <si>
    <t>ER-III-2</t>
  </si>
  <si>
    <t>ER-III-4</t>
  </si>
  <si>
    <t>ER-III-5</t>
  </si>
  <si>
    <t>ER-III-6</t>
  </si>
  <si>
    <t>ER-III-7</t>
  </si>
  <si>
    <t>ER-III-8</t>
  </si>
  <si>
    <t>ER-III-9</t>
  </si>
  <si>
    <t>ER-III-7A</t>
  </si>
  <si>
    <t>ER-III-7B</t>
  </si>
  <si>
    <t>ER-III-8A</t>
  </si>
  <si>
    <t>ER-III-8B</t>
  </si>
  <si>
    <t>ER-III-9A</t>
  </si>
  <si>
    <t>ER-III-9B</t>
  </si>
  <si>
    <t>Estructura Primaria Tipo Rural tres Fases en Tangente (0°-5°)</t>
  </si>
  <si>
    <t>Estructura Primaria Tipo Rural tres Fases en Angulo (5°-30°)</t>
  </si>
  <si>
    <t>Estructura Primaria Tipo Rural tres Fases en Remate</t>
  </si>
  <si>
    <t>Estructura Primaria Tipo Rural tres Fases en Doble Remate (0°-60°)</t>
  </si>
  <si>
    <t>Estructura Primaria Tipo Rural tres Fases en Doble Remate (60°-90°)</t>
  </si>
  <si>
    <t>Estructura Primaria Tipo Rural tres Fases en Tangente (0°-5°) y Derivación de 3 Fases</t>
  </si>
  <si>
    <t>Estructura Primaria Tipo Rural tres Fases en Tangente (0°-5°) y Derivación de 1 Fase</t>
  </si>
  <si>
    <t>Estructura Primaria Tipo Rural tres Fases en Tangente (0°-5°) y Derivación de 2 Fases</t>
  </si>
  <si>
    <t>Estructura Primaria Tipo Rural tres Fases en Angulo (5°-30°) y Derivación de 3 Fases</t>
  </si>
  <si>
    <t>Estructura Primaria Tipo Rural tres Fases en Angulo (5°-30°) y Derivación de 1 Fase</t>
  </si>
  <si>
    <t>Estructura Primaria Tipo Rural tres Fases en Angulo (5°-30°) y Derivación de 2 Fases</t>
  </si>
  <si>
    <t>Estructura Primaria Tipo Rural tres Fases en Doble Remate (0°-60°) y Derivación de 3 Fases</t>
  </si>
  <si>
    <t>Estructura Primaria Tipo Rural tres Fases en Doble Remate (0°-60°) y Derivación de 1 Fase</t>
  </si>
  <si>
    <t>Estructura Primaria Tipo Rural tres Fases en Doble Remate (0°-60°) y Derivación de 2 Fases</t>
  </si>
  <si>
    <t>LL-1-200W</t>
  </si>
  <si>
    <t>LL-1-50W</t>
  </si>
  <si>
    <t>LL3</t>
  </si>
  <si>
    <t>LL4</t>
  </si>
  <si>
    <t>Lámpara LED tipo Cobra de 200 Watts, Completa con Fotocelda</t>
  </si>
  <si>
    <t>Lámpara LED tipo Cobra de 50 Watts, Completa con Fotocelda</t>
  </si>
  <si>
    <t>CR4</t>
  </si>
  <si>
    <t>PLR1</t>
  </si>
  <si>
    <t>PM5</t>
  </si>
  <si>
    <t>PRC6</t>
  </si>
  <si>
    <t>PAN</t>
  </si>
  <si>
    <t>LL-1-28A-50W</t>
  </si>
  <si>
    <t>Brazo Metalico para Lámpara 1-1/4" x1/8"x30"</t>
  </si>
  <si>
    <t>Brazo Metalico para Lámpara 1-1/4" X1/8"x120"</t>
  </si>
  <si>
    <t>Brazo Metalico para Lámpara 1-1/4"x1/8"x96"</t>
  </si>
  <si>
    <t>pie</t>
  </si>
  <si>
    <t>BYCT</t>
  </si>
  <si>
    <t>TGL1</t>
  </si>
  <si>
    <t>Cable Acerado 1/4 EHS"</t>
  </si>
  <si>
    <t>Cable Acerado 5/16 EHS"</t>
  </si>
  <si>
    <t>Cable Acerado 3/8 EHS"</t>
  </si>
  <si>
    <t>Costo Unitario</t>
  </si>
  <si>
    <t>Cable de Aluminio ACSR # 3/0 AWG Pigeon</t>
  </si>
  <si>
    <t>CAP1</t>
  </si>
  <si>
    <t>CAP2</t>
  </si>
  <si>
    <t>CAP3</t>
  </si>
  <si>
    <t>Caja de Registro PVC 6' x 6' x 4'</t>
  </si>
  <si>
    <t>CR-PVC-1</t>
  </si>
  <si>
    <t>Condulet LL de 1½" con tapadera.</t>
  </si>
  <si>
    <t>LL-11/2</t>
  </si>
  <si>
    <t>Adaptador macho PVC C-40 de 2"</t>
  </si>
  <si>
    <t>ADAP-M-PVC-2</t>
  </si>
  <si>
    <t>RMC-1/2</t>
  </si>
  <si>
    <t>Bushing conduit metálico de 1½"</t>
  </si>
  <si>
    <t>GB-5</t>
  </si>
  <si>
    <t>Tubería conduit rígida RMC de 2" x 10'</t>
  </si>
  <si>
    <t xml:space="preserve">THHN # 16 AWG, Rojo. </t>
  </si>
  <si>
    <t xml:space="preserve">THHN # 16 AWG, Negro. </t>
  </si>
  <si>
    <t xml:space="preserve">THHN # 16 AWG, Blanco. </t>
  </si>
  <si>
    <t xml:space="preserve">THHN # 16 AWG, Verde. </t>
  </si>
  <si>
    <t xml:space="preserve">THHN # 16 AWG, Azul. </t>
  </si>
  <si>
    <t xml:space="preserve">THHN # 14 AWG, Rojo. </t>
  </si>
  <si>
    <t xml:space="preserve">THHN # 14 AWG, Negro. </t>
  </si>
  <si>
    <t xml:space="preserve">THHN # 14 AWG, Blanco. </t>
  </si>
  <si>
    <t xml:space="preserve">THHN # 14 AWG, Verde. </t>
  </si>
  <si>
    <t xml:space="preserve">THHN # 14 AWG, Azul. </t>
  </si>
  <si>
    <t xml:space="preserve">THHN # 12 AWG, Rojo. </t>
  </si>
  <si>
    <t xml:space="preserve">THHN # 12 AWG, Negro. </t>
  </si>
  <si>
    <t xml:space="preserve">THHN # 12 AWG, Blanco. </t>
  </si>
  <si>
    <t xml:space="preserve">THHN # 12 AWG, Verde. </t>
  </si>
  <si>
    <t xml:space="preserve">THHN # 12 AWG, Azul. </t>
  </si>
  <si>
    <t xml:space="preserve">THHN # 10 AWG, Rojo. </t>
  </si>
  <si>
    <t xml:space="preserve">THHN # 10 AWG, Negro. </t>
  </si>
  <si>
    <t xml:space="preserve">THHN # 10 AWG, Blanco. </t>
  </si>
  <si>
    <t xml:space="preserve">THHN # 10 AWG, Verde. </t>
  </si>
  <si>
    <t xml:space="preserve">THHN # 10 AWG, Azul. </t>
  </si>
  <si>
    <t xml:space="preserve">THHN # 8 AWG, Rojo. </t>
  </si>
  <si>
    <t xml:space="preserve">THHN # 8 AWG, Negro. </t>
  </si>
  <si>
    <t xml:space="preserve">THHN # 8 AWG, Blanco. </t>
  </si>
  <si>
    <t xml:space="preserve">THHN # 8 AWG, Verde. </t>
  </si>
  <si>
    <t xml:space="preserve">THHN # 8 AWG, Azul. </t>
  </si>
  <si>
    <t xml:space="preserve">THHN # 6 AWG, Rojo. </t>
  </si>
  <si>
    <t xml:space="preserve">THHN # 6 AWG, Negro. </t>
  </si>
  <si>
    <t xml:space="preserve">THHN # 6 AWG, Blanco. </t>
  </si>
  <si>
    <t xml:space="preserve">THHN # 6 AWG, Verde. </t>
  </si>
  <si>
    <t xml:space="preserve">THHN # 6 AWG, Azul. </t>
  </si>
  <si>
    <t xml:space="preserve">THHN # 4 AWG, Rojo. </t>
  </si>
  <si>
    <t xml:space="preserve">THHN # 4 AWG, Negro. </t>
  </si>
  <si>
    <t xml:space="preserve">THHN # 4 AWG, Blanco. </t>
  </si>
  <si>
    <t xml:space="preserve">THHN # 4 AWG, Verde. </t>
  </si>
  <si>
    <t xml:space="preserve">THHN # 4 AWG, Azul. </t>
  </si>
  <si>
    <t xml:space="preserve">THHN # 2 AWG, Rojo. </t>
  </si>
  <si>
    <t xml:space="preserve">THHN # 2 AWG, Negro. </t>
  </si>
  <si>
    <t xml:space="preserve">THHN # 2 AWG, Blanco. </t>
  </si>
  <si>
    <t xml:space="preserve">THHN # 2 AWG, Verde. </t>
  </si>
  <si>
    <t xml:space="preserve">THHN # 2 AWG, Azul. </t>
  </si>
  <si>
    <t xml:space="preserve">THHN # 1/0 AWG, Rojo. </t>
  </si>
  <si>
    <t xml:space="preserve">THHN # 1/0 AWG, Negro. </t>
  </si>
  <si>
    <t xml:space="preserve">THHN # 1/0 AWG, Blanco. </t>
  </si>
  <si>
    <t xml:space="preserve">THHN # 1/0 AWG, Verde. </t>
  </si>
  <si>
    <t xml:space="preserve">THHN # 1/0 AWG, Azul. </t>
  </si>
  <si>
    <t xml:space="preserve">THHN # 2/0 AWG, Rojo. </t>
  </si>
  <si>
    <t xml:space="preserve">THHN # 2/0 AWG, Negro. </t>
  </si>
  <si>
    <t xml:space="preserve">THHN # 2/0 AWG, Blanco. </t>
  </si>
  <si>
    <t xml:space="preserve">THHN # 2/0 AWG, Verde. </t>
  </si>
  <si>
    <t xml:space="preserve">THHN # 2/0 AWG, Azul. </t>
  </si>
  <si>
    <t xml:space="preserve">THHN # 3/0 AWG, Rojo. </t>
  </si>
  <si>
    <t xml:space="preserve">THHN # 3/0 AWG, Negro. </t>
  </si>
  <si>
    <t xml:space="preserve">THHN # 3/0 AWG, Blanco. </t>
  </si>
  <si>
    <t xml:space="preserve">THHN # 3/0 AWG, Verde. </t>
  </si>
  <si>
    <t xml:space="preserve">THHN # 3/0 AWG, Azul. </t>
  </si>
  <si>
    <t xml:space="preserve">THHN # 250 Kcmil, Rojo. </t>
  </si>
  <si>
    <t xml:space="preserve">THHN # 250 Kcmil, Negro. </t>
  </si>
  <si>
    <t xml:space="preserve">THHN # 250 Kcmil, Blanco. </t>
  </si>
  <si>
    <t xml:space="preserve">THHN # 250 Kcmil, Verde. </t>
  </si>
  <si>
    <t xml:space="preserve">THHN # 250 Kcmil, Azul. </t>
  </si>
  <si>
    <t xml:space="preserve">THHN # 350 Kcmil, Rojo. </t>
  </si>
  <si>
    <t xml:space="preserve">THHN # 350 Kcmil, Negro. </t>
  </si>
  <si>
    <t xml:space="preserve">THHN # 350 Kcmil, Blanco. </t>
  </si>
  <si>
    <t xml:space="preserve">THHN # 350 Kcmil, Verde. </t>
  </si>
  <si>
    <t xml:space="preserve">THHN # 350 Kcmil, Azul. </t>
  </si>
  <si>
    <t xml:space="preserve">THHN # 400 Kcmil, Rojo. </t>
  </si>
  <si>
    <t xml:space="preserve">THHN # 400 Kcmil, Negro. </t>
  </si>
  <si>
    <t xml:space="preserve">THHN # 400 Kcmil, Blanco. </t>
  </si>
  <si>
    <t xml:space="preserve">THHN # 400 Kcmil, Verde. </t>
  </si>
  <si>
    <t xml:space="preserve">THHN # 400 Kcmil, Azul. </t>
  </si>
  <si>
    <t xml:space="preserve">THHN # 450 Kcmil, Rojo. </t>
  </si>
  <si>
    <t xml:space="preserve">THHN # 450 Kcmil, Negro. </t>
  </si>
  <si>
    <t xml:space="preserve">THHN # 450 Kcmil, Blanco. </t>
  </si>
  <si>
    <t xml:space="preserve">THHN # 450 Kcmil, Verde. </t>
  </si>
  <si>
    <t xml:space="preserve">THHN # 450 Kcmil, Azul. </t>
  </si>
  <si>
    <t xml:space="preserve">THHN # 500 Kcmil, Rojo. </t>
  </si>
  <si>
    <t xml:space="preserve">THHN # 500 Kcmil, Negro. </t>
  </si>
  <si>
    <t xml:space="preserve">THHN # 500 Kcmil, Blanco. </t>
  </si>
  <si>
    <t xml:space="preserve">THHN # 500 Kcmil, Verde. </t>
  </si>
  <si>
    <t xml:space="preserve">THHN # 500 Kcmil, Azul. </t>
  </si>
  <si>
    <t>Poste de Concreto de 40 Pies Autosoportado, 2,000 Lb.</t>
  </si>
  <si>
    <t>PCA40-2000Lb</t>
  </si>
  <si>
    <t>Poste de Concreto de 40 Pies Autosoportado, 3,000 Lb.</t>
  </si>
  <si>
    <t>PCA40-3000Lb</t>
  </si>
  <si>
    <t>PCA45-2000Lb</t>
  </si>
  <si>
    <t>PCA45-3000Lb</t>
  </si>
  <si>
    <t>PCA50-2000Lb</t>
  </si>
  <si>
    <t>PCA50-3000Lb</t>
  </si>
  <si>
    <t>Poste de Concreto de 45 Pies Autosoportado, 2,000 Lb.</t>
  </si>
  <si>
    <t>Poste de Concreto de 45 Pies Autosoportado, 3,000 Lb.</t>
  </si>
  <si>
    <t>Poste de Concreto de 50 Pies Autosoportado, 2,000 Lb.</t>
  </si>
  <si>
    <t>Poste de Concreto de 50 Pies Autosoportado, 3,000 Lb.</t>
  </si>
  <si>
    <t>PCA50</t>
  </si>
  <si>
    <t>Poste de Concreto de 50 Pies Autosoportado.</t>
  </si>
  <si>
    <t>PC50</t>
  </si>
  <si>
    <t>Poste de Concreto de 50'.</t>
  </si>
  <si>
    <t>AS1</t>
  </si>
  <si>
    <t>GT2</t>
  </si>
  <si>
    <t>D</t>
  </si>
  <si>
    <t>VAP4</t>
  </si>
  <si>
    <t>CC12</t>
  </si>
  <si>
    <t>PRC7</t>
  </si>
  <si>
    <t>PCA-30</t>
  </si>
  <si>
    <t>PCA-35</t>
  </si>
  <si>
    <t>PCA-40</t>
  </si>
  <si>
    <t>PCA-45</t>
  </si>
  <si>
    <t>PCA-50</t>
  </si>
  <si>
    <t>PCA-40-2,000 Lb</t>
  </si>
  <si>
    <t>PCA-40-3,000 Lb</t>
  </si>
  <si>
    <t>PCA-45-2,000 Lb</t>
  </si>
  <si>
    <t>PCA-45-3,000 Lb</t>
  </si>
  <si>
    <t>PCA-50-2,000 Lb</t>
  </si>
  <si>
    <t>PCA-50-3,000 Lb</t>
  </si>
  <si>
    <t xml:space="preserve">Poste de Concreto de 40 Pies Autosoportado de 2,000 Lb. </t>
  </si>
  <si>
    <t xml:space="preserve">Poste de Concreto de 45 Pies Autosoportado de 3,000 Lb. </t>
  </si>
  <si>
    <t xml:space="preserve">Poste de Concreto de 40 Pies Autosoportado de 3,000 Lb. </t>
  </si>
  <si>
    <t xml:space="preserve">Poste de Concreto de 45 Pies Autosoportado de 2,000 Lb. </t>
  </si>
  <si>
    <t xml:space="preserve">Poste de Concreto de 50 Pies Autosoportado de 2,000 Lb. </t>
  </si>
  <si>
    <t xml:space="preserve">Poste de Concreto de 50 Pies Autosoportado de 3,000 Lb. </t>
  </si>
  <si>
    <t>Logistica</t>
  </si>
  <si>
    <t>Horas de Grua</t>
  </si>
  <si>
    <t>HRSGRUA</t>
  </si>
  <si>
    <t xml:space="preserve">Poste de Concreto de 50 Pies Autosoportado. </t>
  </si>
  <si>
    <t>Estructura Primaria dos Fases en Remate.</t>
  </si>
  <si>
    <t>Estructura primaria dos fases en doble remate (0º-60º) en suspensión.</t>
  </si>
  <si>
    <t>Estructura primaria dos fase en doble remate (60º-90º) y derivación de una fase.</t>
  </si>
  <si>
    <t>Retenida Aerea</t>
  </si>
  <si>
    <t>Retenida de Viento</t>
  </si>
  <si>
    <t>Instalación de transformador de 15 KVA.</t>
  </si>
  <si>
    <t>Instalación de transformador de 25 KVA.</t>
  </si>
  <si>
    <t>Instalación de transformador de 37.5 KVA.</t>
  </si>
  <si>
    <t>Instalación de transformador de 50 KVA.</t>
  </si>
  <si>
    <t>Instalación de transformador de 75 KVA.</t>
  </si>
  <si>
    <t>Instalación de transformador de 100 KVA.</t>
  </si>
  <si>
    <t>Poste de Concreto de 30 Pies.</t>
  </si>
  <si>
    <t>Poste de Concreto de 35 Pies.</t>
  </si>
  <si>
    <t>Poste de Concreto de 40 Pies.</t>
  </si>
  <si>
    <t>Poste de Concreto de 45 Pies.</t>
  </si>
  <si>
    <t>Conexión Tierra a Neutro.</t>
  </si>
  <si>
    <t>Conexión Tierra a Guarda.</t>
  </si>
  <si>
    <t>Luminaria Led Tipo Cobra 50 Watt.</t>
  </si>
  <si>
    <t>Luminaria Led Tipo Cobra 100 Watt.</t>
  </si>
  <si>
    <t>Luminaria Led Tipo Cobra 200 Watt.</t>
  </si>
  <si>
    <t>Costo de Grúa por hora.</t>
  </si>
  <si>
    <t>Estructura Primaria tres Fases de Paso Vértical (30º -60º)</t>
  </si>
  <si>
    <t>Instalación de Línea Primaria conductor 1/0 ACSR por metro</t>
  </si>
  <si>
    <t>Instalación de Línea Secundaria por metro</t>
  </si>
  <si>
    <t>Estructura Neutro en tangente (0º - 30º).</t>
  </si>
  <si>
    <t>Estructura Neutro y Piloto en tangente (0º - 30º).</t>
  </si>
  <si>
    <t>Estructura Neutro de remate cable ASCR.</t>
  </si>
  <si>
    <t>Estructura Neutro Doble en tangente (0º - 30º).</t>
  </si>
  <si>
    <t>Luminaria Led Tipo Cobra 28 A 50 Watt.</t>
  </si>
  <si>
    <t>INST-LP</t>
  </si>
  <si>
    <t>INST-LS</t>
  </si>
  <si>
    <t>CA-32</t>
  </si>
  <si>
    <t xml:space="preserve">Control Automático de Iluminación de 32 A. </t>
  </si>
  <si>
    <t>Precio</t>
  </si>
  <si>
    <t>Total</t>
  </si>
  <si>
    <t>Precios</t>
  </si>
  <si>
    <t>CODIGO</t>
  </si>
  <si>
    <t>Restaurador de 34.5 KV, 600 A.</t>
  </si>
  <si>
    <t>Cuchilla Monopolar, 34.5 KV, 600 A.</t>
  </si>
  <si>
    <t>REST-1</t>
  </si>
  <si>
    <t>CM-2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</si>
</sst>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.5"/>
      <name val="Arial"/>
    </font>
    <font>
      <b/>
      <sz val="8.5"/>
      <name val="Arial"/>
      <family val="2"/>
    </font>
    <font>
      <b/>
      <sz val="8.5"/>
      <name val="Calibri"/>
    </font>
    <font>
      <b/>
      <sz val="8.5"/>
      <name val="Calibri"/>
      <family val="1"/>
    </font>
    <font>
      <sz val="8.5"/>
      <name val="Calibri"/>
      <family val="1"/>
    </font>
    <font>
      <sz val="7"/>
      <name val="Calibri"/>
    </font>
    <font>
      <sz val="7"/>
      <name val="Calibri"/>
      <family val="1"/>
    </font>
    <font>
      <b/>
      <sz val="8.5"/>
      <name val="Calibri"/>
      <family val="2"/>
    </font>
    <font>
      <sz val="7"/>
      <name val="Calibri"/>
      <family val="2"/>
    </font>
    <font>
      <sz val="8.5"/>
      <name val="Calibri"/>
      <family val="2"/>
    </font>
    <font>
      <sz val="8.5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wrapText="1"/>
    </xf>
    <xf numFmtId="0" fontId="7" fillId="0" borderId="9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9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center" wrapText="1"/>
    </xf>
    <xf numFmtId="0" fontId="13" fillId="0" borderId="9" xfId="0" applyFont="1" applyBorder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7" fillId="0" borderId="9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0" fillId="2" borderId="10" xfId="0" applyFill="1" applyBorder="1" applyAlignment="1">
      <alignment horizontal="center" wrapText="1"/>
    </xf>
    <xf numFmtId="0" fontId="14" fillId="0" borderId="9" xfId="0" applyFont="1" applyBorder="1" applyAlignment="1">
      <alignment horizontal="center" vertical="top" wrapText="1"/>
    </xf>
    <xf numFmtId="4" fontId="0" fillId="0" borderId="0" xfId="0" applyNumberFormat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wrapText="1"/>
    </xf>
    <xf numFmtId="0" fontId="15" fillId="0" borderId="12" xfId="0" applyFont="1" applyBorder="1" applyAlignment="1">
      <alignment horizontal="center" vertical="top" wrapText="1"/>
    </xf>
    <xf numFmtId="0" fontId="0" fillId="0" borderId="0" xfId="0" applyBorder="1" applyAlignment="1">
      <alignment horizontal="center" wrapText="1"/>
    </xf>
    <xf numFmtId="4" fontId="0" fillId="0" borderId="0" xfId="0" applyNumberForma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30">
    <dxf>
      <numFmt numFmtId="4" formatCode="#,##0.00"/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tyles" Target="style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34B10-91C5-4B39-8D65-B8ED4495BB5A}" name="Estructuras" displayName="Estructuras" ref="A1:F284" totalsRowShown="0" headerRowDxfId="19" headerRowBorderDxfId="18" tableBorderDxfId="17" totalsRowBorderDxfId="16">
  <autoFilter ref="A1:F284" xr:uid="{9A834B10-91C5-4B39-8D65-B8ED4495BB5A}"/>
  <tableColumns count="6">
    <tableColumn id="1" xr3:uid="{5E5E09E3-0790-4DD7-994F-B6A903185AA0}" name="N°" dataDxfId="15"/>
    <tableColumn id="6" xr3:uid="{C662D303-8DF9-4D38-A55F-9381756DA90E}" name="Clasificación" dataDxfId="14"/>
    <tableColumn id="5" xr3:uid="{5E62DC41-A035-4308-A5F4-512D19C2032E}" name="Columna1" dataDxfId="13"/>
    <tableColumn id="2" xr3:uid="{44F92BAE-C2A1-4876-AF63-960DEE88939C}" name="Código de Estructura" dataDxfId="12"/>
    <tableColumn id="3" xr3:uid="{4E0AA080-B0C4-438E-B937-E1F134039407}" name="Descripción" dataDxfId="11"/>
    <tableColumn id="4" xr3:uid="{5BB0F99B-F3EE-4A98-8EEE-DCA957622A37}" name="Precios" dataDxfId="10">
      <calculatedColumnFormula>'A-I-1'!F10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30489-17CD-42ED-AB31-71D8BE141788}" name="tbmateriales" displayName="tbmateriales" ref="A1:F266" totalsRowShown="0" headerRowDxfId="29" dataDxfId="27" headerRowBorderDxfId="28" tableBorderDxfId="26" totalsRowBorderDxfId="25">
  <autoFilter ref="A1:F266" xr:uid="{DA430489-17CD-42ED-AB31-71D8BE141788}"/>
  <sortState xmlns:xlrd2="http://schemas.microsoft.com/office/spreadsheetml/2017/richdata2" ref="A2:A256">
    <sortCondition ref="A1:A256"/>
  </sortState>
  <tableColumns count="6">
    <tableColumn id="1" xr3:uid="{2DE84C7C-D8AB-4F92-8B5E-645BF9E1C8CB}" name="N°" dataDxfId="24"/>
    <tableColumn id="4" xr3:uid="{50E50761-CBF9-42BE-BBC7-5C300F6F623F}" name="CODIGO" dataDxfId="23"/>
    <tableColumn id="5" xr3:uid="{477D67FA-CF9D-4526-8A86-48CD4950C756}" name="MATERIALES"/>
    <tableColumn id="2" xr3:uid="{5FCF271E-2CCC-42E1-97A0-59839945015F}" name="Unidad" dataDxfId="22"/>
    <tableColumn id="6" xr3:uid="{79052A69-5493-42A1-AD42-A86C8C40C917}" name="REFERENCIA" dataDxfId="21"/>
    <tableColumn id="3" xr3:uid="{9E6242B1-DB5D-445C-9FB6-1A23A891705E}" name="Costo Unitario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0CCC7F-2695-4316-A392-FA902BC0A6A3}" name="tbmateriales4" displayName="tbmateriales4" ref="A1:F256" totalsRowShown="0" headerRowDxfId="9" dataDxfId="7" headerRowBorderDxfId="8" tableBorderDxfId="6" totalsRowBorderDxfId="5">
  <autoFilter ref="A1:F256" xr:uid="{DA430489-17CD-42ED-AB31-71D8BE141788}"/>
  <sortState xmlns:xlrd2="http://schemas.microsoft.com/office/spreadsheetml/2017/richdata2" ref="A2:A248">
    <sortCondition ref="A1:A248"/>
  </sortState>
  <tableColumns count="6">
    <tableColumn id="1" xr3:uid="{8D0999BA-0208-4288-9507-499F5224FBBF}" name="N°" dataDxfId="4"/>
    <tableColumn id="4" xr3:uid="{D7973C96-D77B-4282-BC37-A026D467C40C}" name="CÓDIGO" dataDxfId="3"/>
    <tableColumn id="5" xr3:uid="{1B753A62-41C0-410A-AC4F-6CFAD721DAD5}" name="DESCRIPCIÓN DE MATERIALES"/>
    <tableColumn id="2" xr3:uid="{59B9794E-90E1-44BB-87E8-E3DF3A5DC887}" name="Unidad" dataDxfId="2"/>
    <tableColumn id="6" xr3:uid="{6ECF7737-C04D-4124-A699-64D8E54B7B4D}" name="REFERENCIA" dataDxfId="1"/>
    <tableColumn id="3" xr3:uid="{0240828E-B302-4332-92C8-699D98B4B737}" name="Costo Uni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84"/>
  <sheetViews>
    <sheetView topLeftCell="D1" zoomScale="85" zoomScaleNormal="100" zoomScaleSheetLayoutView="122" workbookViewId="0">
      <selection activeCell="F2" sqref="F2"/>
    </sheetView>
  </sheetViews>
  <sheetFormatPr baseColWidth="10" defaultRowHeight="15" x14ac:dyDescent="0.25"/>
  <cols>
    <col min="1" max="1" width="6.5703125" customWidth="1"/>
    <col min="2" max="2" width="21.28515625" customWidth="1"/>
    <col min="3" max="3" width="36.7109375" customWidth="1"/>
    <col min="4" max="4" width="19.7109375" customWidth="1"/>
    <col min="5" max="5" width="85" customWidth="1"/>
    <col min="6" max="6" width="11.5703125" style="46"/>
  </cols>
  <sheetData>
    <row r="1" spans="1:6" x14ac:dyDescent="0.25">
      <c r="A1" s="2" t="s">
        <v>10</v>
      </c>
      <c r="B1" s="2" t="s">
        <v>11</v>
      </c>
      <c r="C1" s="2" t="s">
        <v>12</v>
      </c>
      <c r="D1" s="3" t="s">
        <v>13</v>
      </c>
      <c r="E1" s="4" t="s">
        <v>826</v>
      </c>
      <c r="F1" s="45" t="s">
        <v>1510</v>
      </c>
    </row>
    <row r="2" spans="1:6" x14ac:dyDescent="0.25">
      <c r="A2" s="5">
        <v>1</v>
      </c>
      <c r="B2" s="5" t="s">
        <v>14</v>
      </c>
      <c r="C2" s="5" t="s">
        <v>15</v>
      </c>
      <c r="D2" s="6" t="s">
        <v>16</v>
      </c>
      <c r="E2" s="31" t="s">
        <v>17</v>
      </c>
      <c r="F2" s="46">
        <f>'A-I-1'!F10</f>
        <v>895.19</v>
      </c>
    </row>
    <row r="3" spans="1:6" x14ac:dyDescent="0.25">
      <c r="A3" s="5">
        <v>2</v>
      </c>
      <c r="B3" s="5" t="s">
        <v>14</v>
      </c>
      <c r="C3" s="5" t="s">
        <v>15</v>
      </c>
      <c r="D3" s="7" t="s">
        <v>18</v>
      </c>
      <c r="E3" s="31" t="s">
        <v>19</v>
      </c>
      <c r="F3" s="46">
        <f>'A-I-1'!F11</f>
        <v>0</v>
      </c>
    </row>
    <row r="4" spans="1:6" x14ac:dyDescent="0.25">
      <c r="A4" s="5">
        <v>3</v>
      </c>
      <c r="B4" s="5" t="s">
        <v>14</v>
      </c>
      <c r="C4" s="5" t="s">
        <v>15</v>
      </c>
      <c r="D4" s="7" t="s">
        <v>20</v>
      </c>
      <c r="E4" s="31" t="s">
        <v>21</v>
      </c>
      <c r="F4" s="46">
        <f>'A-I-1'!F12</f>
        <v>0</v>
      </c>
    </row>
    <row r="5" spans="1:6" x14ac:dyDescent="0.25">
      <c r="A5" s="5">
        <v>4</v>
      </c>
      <c r="B5" s="5" t="s">
        <v>14</v>
      </c>
      <c r="C5" s="5" t="s">
        <v>15</v>
      </c>
      <c r="D5" s="7" t="s">
        <v>22</v>
      </c>
      <c r="E5" s="31" t="s">
        <v>23</v>
      </c>
      <c r="F5" s="46">
        <f>'A-I-1'!F13</f>
        <v>0</v>
      </c>
    </row>
    <row r="6" spans="1:6" x14ac:dyDescent="0.25">
      <c r="A6" s="5">
        <v>5</v>
      </c>
      <c r="B6" s="5" t="s">
        <v>14</v>
      </c>
      <c r="C6" s="5" t="s">
        <v>15</v>
      </c>
      <c r="D6" s="7" t="s">
        <v>24</v>
      </c>
      <c r="E6" s="31" t="s">
        <v>25</v>
      </c>
      <c r="F6" s="46">
        <f>'A-I-1'!F14</f>
        <v>0</v>
      </c>
    </row>
    <row r="7" spans="1:6" x14ac:dyDescent="0.25">
      <c r="A7" s="5">
        <v>6</v>
      </c>
      <c r="B7" s="5" t="s">
        <v>14</v>
      </c>
      <c r="C7" s="5" t="s">
        <v>15</v>
      </c>
      <c r="D7" s="7" t="s">
        <v>26</v>
      </c>
      <c r="E7" s="32" t="s">
        <v>27</v>
      </c>
      <c r="F7" s="46">
        <f>'A-I-1'!F15</f>
        <v>0</v>
      </c>
    </row>
    <row r="8" spans="1:6" x14ac:dyDescent="0.25">
      <c r="A8" s="5">
        <v>7</v>
      </c>
      <c r="B8" s="5" t="s">
        <v>14</v>
      </c>
      <c r="C8" s="5" t="s">
        <v>15</v>
      </c>
      <c r="D8" s="7" t="s">
        <v>28</v>
      </c>
      <c r="E8" s="32" t="s">
        <v>29</v>
      </c>
      <c r="F8" s="46">
        <f>'A-I-1'!F16</f>
        <v>0</v>
      </c>
    </row>
    <row r="9" spans="1:6" x14ac:dyDescent="0.25">
      <c r="A9" s="5">
        <v>8</v>
      </c>
      <c r="B9" s="5" t="s">
        <v>14</v>
      </c>
      <c r="C9" s="5" t="s">
        <v>15</v>
      </c>
      <c r="D9" s="7" t="s">
        <v>30</v>
      </c>
      <c r="E9" s="32" t="s">
        <v>31</v>
      </c>
      <c r="F9" s="46">
        <f>'A-I-1'!F17</f>
        <v>0</v>
      </c>
    </row>
    <row r="10" spans="1:6" x14ac:dyDescent="0.25">
      <c r="A10" s="5">
        <v>9</v>
      </c>
      <c r="B10" s="5" t="s">
        <v>14</v>
      </c>
      <c r="C10" s="5" t="s">
        <v>15</v>
      </c>
      <c r="D10" s="7" t="s">
        <v>32</v>
      </c>
      <c r="E10" s="32" t="s">
        <v>33</v>
      </c>
      <c r="F10" s="46">
        <f>'A-I-1'!F18</f>
        <v>0</v>
      </c>
    </row>
    <row r="11" spans="1:6" x14ac:dyDescent="0.25">
      <c r="A11" s="5">
        <v>10</v>
      </c>
      <c r="B11" s="5" t="s">
        <v>14</v>
      </c>
      <c r="C11" s="5" t="s">
        <v>15</v>
      </c>
      <c r="D11" s="7" t="s">
        <v>34</v>
      </c>
      <c r="E11" s="32" t="s">
        <v>35</v>
      </c>
      <c r="F11" s="46">
        <f>'A-I-1'!F19</f>
        <v>0</v>
      </c>
    </row>
    <row r="12" spans="1:6" x14ac:dyDescent="0.25">
      <c r="A12" s="5">
        <v>11</v>
      </c>
      <c r="B12" s="5" t="s">
        <v>14</v>
      </c>
      <c r="C12" s="5" t="s">
        <v>15</v>
      </c>
      <c r="D12" s="7" t="s">
        <v>36</v>
      </c>
      <c r="E12" s="32" t="s">
        <v>37</v>
      </c>
      <c r="F12" s="46">
        <f>'A-I-1'!F20</f>
        <v>0</v>
      </c>
    </row>
    <row r="13" spans="1:6" x14ac:dyDescent="0.25">
      <c r="A13" s="5">
        <v>12</v>
      </c>
      <c r="B13" s="5" t="s">
        <v>14</v>
      </c>
      <c r="C13" s="5" t="s">
        <v>15</v>
      </c>
      <c r="D13" s="7" t="s">
        <v>38</v>
      </c>
      <c r="E13" s="32" t="s">
        <v>39</v>
      </c>
      <c r="F13" s="46">
        <f>'A-I-1'!F21</f>
        <v>0</v>
      </c>
    </row>
    <row r="14" spans="1:6" x14ac:dyDescent="0.25">
      <c r="A14" s="5">
        <v>13</v>
      </c>
      <c r="B14" s="5" t="s">
        <v>14</v>
      </c>
      <c r="C14" s="5" t="s">
        <v>15</v>
      </c>
      <c r="D14" s="7" t="s">
        <v>40</v>
      </c>
      <c r="E14" s="32" t="s">
        <v>41</v>
      </c>
      <c r="F14" s="46">
        <f>'A-I-1'!F22</f>
        <v>0</v>
      </c>
    </row>
    <row r="15" spans="1:6" x14ac:dyDescent="0.25">
      <c r="A15" s="5">
        <v>14</v>
      </c>
      <c r="B15" s="5" t="s">
        <v>14</v>
      </c>
      <c r="C15" s="5" t="s">
        <v>15</v>
      </c>
      <c r="D15" s="7" t="s">
        <v>42</v>
      </c>
      <c r="E15" s="32" t="s">
        <v>43</v>
      </c>
      <c r="F15" s="46">
        <f>'A-I-1'!F23</f>
        <v>0</v>
      </c>
    </row>
    <row r="16" spans="1:6" x14ac:dyDescent="0.25">
      <c r="A16" s="5">
        <v>15</v>
      </c>
      <c r="B16" s="5" t="s">
        <v>14</v>
      </c>
      <c r="C16" s="5" t="s">
        <v>15</v>
      </c>
      <c r="D16" s="7" t="s">
        <v>44</v>
      </c>
      <c r="E16" s="32" t="s">
        <v>45</v>
      </c>
      <c r="F16" s="46">
        <f>'A-I-1'!F24</f>
        <v>0</v>
      </c>
    </row>
    <row r="17" spans="1:6" x14ac:dyDescent="0.25">
      <c r="A17" s="5">
        <v>16</v>
      </c>
      <c r="B17" s="5" t="s">
        <v>14</v>
      </c>
      <c r="C17" s="5" t="s">
        <v>15</v>
      </c>
      <c r="D17" s="7" t="s">
        <v>46</v>
      </c>
      <c r="E17" s="32" t="s">
        <v>47</v>
      </c>
      <c r="F17" s="46">
        <f>'A-I-1'!F25</f>
        <v>0</v>
      </c>
    </row>
    <row r="18" spans="1:6" x14ac:dyDescent="0.25">
      <c r="A18" s="5">
        <v>17</v>
      </c>
      <c r="B18" s="5" t="s">
        <v>14</v>
      </c>
      <c r="C18" s="5" t="s">
        <v>15</v>
      </c>
      <c r="D18" s="7" t="s">
        <v>48</v>
      </c>
      <c r="E18" s="32" t="s">
        <v>49</v>
      </c>
      <c r="F18" s="46">
        <f>'A-I-1'!F26</f>
        <v>0</v>
      </c>
    </row>
    <row r="19" spans="1:6" x14ac:dyDescent="0.25">
      <c r="A19" s="5">
        <v>18</v>
      </c>
      <c r="B19" s="5" t="s">
        <v>14</v>
      </c>
      <c r="C19" s="5" t="s">
        <v>15</v>
      </c>
      <c r="D19" s="7" t="s">
        <v>50</v>
      </c>
      <c r="E19" s="32" t="s">
        <v>51</v>
      </c>
      <c r="F19" s="46">
        <f>'A-I-1'!F27</f>
        <v>0</v>
      </c>
    </row>
    <row r="20" spans="1:6" x14ac:dyDescent="0.25">
      <c r="A20" s="5">
        <v>19</v>
      </c>
      <c r="B20" s="5" t="s">
        <v>14</v>
      </c>
      <c r="C20" s="5" t="s">
        <v>15</v>
      </c>
      <c r="D20" s="7" t="s">
        <v>52</v>
      </c>
      <c r="E20" s="32" t="s">
        <v>53</v>
      </c>
      <c r="F20" s="46">
        <f>'A-I-1'!F28</f>
        <v>0</v>
      </c>
    </row>
    <row r="21" spans="1:6" x14ac:dyDescent="0.25">
      <c r="A21" s="5">
        <v>20</v>
      </c>
      <c r="B21" s="5" t="s">
        <v>14</v>
      </c>
      <c r="C21" s="5" t="s">
        <v>54</v>
      </c>
      <c r="D21" s="7" t="s">
        <v>55</v>
      </c>
      <c r="E21" s="31" t="s">
        <v>56</v>
      </c>
      <c r="F21" s="43">
        <f>'A-I-1'!F29</f>
        <v>0</v>
      </c>
    </row>
    <row r="22" spans="1:6" x14ac:dyDescent="0.25">
      <c r="A22" s="5">
        <v>21</v>
      </c>
      <c r="B22" s="5" t="s">
        <v>14</v>
      </c>
      <c r="C22" s="5" t="s">
        <v>54</v>
      </c>
      <c r="D22" s="7" t="s">
        <v>57</v>
      </c>
      <c r="E22" s="31" t="s">
        <v>58</v>
      </c>
      <c r="F22" s="43">
        <f>'A-I-1'!F30</f>
        <v>0</v>
      </c>
    </row>
    <row r="23" spans="1:6" x14ac:dyDescent="0.25">
      <c r="A23" s="5">
        <v>22</v>
      </c>
      <c r="B23" s="5" t="s">
        <v>14</v>
      </c>
      <c r="C23" s="5" t="s">
        <v>54</v>
      </c>
      <c r="D23" s="7" t="s">
        <v>59</v>
      </c>
      <c r="E23" s="31" t="s">
        <v>60</v>
      </c>
      <c r="F23" s="43">
        <f>'A-I-1'!F31</f>
        <v>0</v>
      </c>
    </row>
    <row r="24" spans="1:6" x14ac:dyDescent="0.25">
      <c r="A24" s="5">
        <v>23</v>
      </c>
      <c r="B24" s="5" t="s">
        <v>14</v>
      </c>
      <c r="C24" s="5" t="s">
        <v>54</v>
      </c>
      <c r="D24" s="7" t="s">
        <v>61</v>
      </c>
      <c r="E24" s="31" t="s">
        <v>62</v>
      </c>
      <c r="F24" s="43">
        <f>'A-I-1'!F32</f>
        <v>0</v>
      </c>
    </row>
    <row r="25" spans="1:6" x14ac:dyDescent="0.25">
      <c r="A25" s="5">
        <v>24</v>
      </c>
      <c r="B25" s="5" t="s">
        <v>14</v>
      </c>
      <c r="C25" s="5" t="s">
        <v>54</v>
      </c>
      <c r="D25" s="7" t="s">
        <v>63</v>
      </c>
      <c r="E25" s="31" t="s">
        <v>64</v>
      </c>
      <c r="F25" s="43">
        <f>'A-I-1'!F33</f>
        <v>0</v>
      </c>
    </row>
    <row r="26" spans="1:6" x14ac:dyDescent="0.25">
      <c r="A26" s="5">
        <v>25</v>
      </c>
      <c r="B26" s="5" t="s">
        <v>14</v>
      </c>
      <c r="C26" s="5" t="s">
        <v>54</v>
      </c>
      <c r="D26" s="7" t="s">
        <v>65</v>
      </c>
      <c r="E26" s="32" t="s">
        <v>1475</v>
      </c>
      <c r="F26" s="43">
        <f>'A-I-1'!F34</f>
        <v>0</v>
      </c>
    </row>
    <row r="27" spans="1:6" x14ac:dyDescent="0.25">
      <c r="A27" s="5">
        <v>26</v>
      </c>
      <c r="B27" s="5" t="s">
        <v>14</v>
      </c>
      <c r="C27" s="5" t="s">
        <v>54</v>
      </c>
      <c r="D27" s="7" t="s">
        <v>66</v>
      </c>
      <c r="E27" s="32" t="s">
        <v>67</v>
      </c>
      <c r="F27" s="43">
        <f>'A-I-1'!F35</f>
        <v>0</v>
      </c>
    </row>
    <row r="28" spans="1:6" x14ac:dyDescent="0.25">
      <c r="A28" s="5">
        <v>27</v>
      </c>
      <c r="B28" s="5" t="s">
        <v>14</v>
      </c>
      <c r="C28" s="5" t="s">
        <v>54</v>
      </c>
      <c r="D28" s="7" t="s">
        <v>68</v>
      </c>
      <c r="E28" s="32" t="s">
        <v>69</v>
      </c>
      <c r="F28" s="43">
        <f>'A-I-1'!F36</f>
        <v>0</v>
      </c>
    </row>
    <row r="29" spans="1:6" x14ac:dyDescent="0.25">
      <c r="A29" s="5">
        <v>28</v>
      </c>
      <c r="B29" s="5" t="s">
        <v>14</v>
      </c>
      <c r="C29" s="5" t="s">
        <v>54</v>
      </c>
      <c r="D29" s="7" t="s">
        <v>70</v>
      </c>
      <c r="E29" s="32" t="s">
        <v>71</v>
      </c>
      <c r="F29" s="43">
        <f>'A-I-1'!F37</f>
        <v>0</v>
      </c>
    </row>
    <row r="30" spans="1:6" x14ac:dyDescent="0.25">
      <c r="A30" s="5">
        <v>29</v>
      </c>
      <c r="B30" s="5" t="s">
        <v>14</v>
      </c>
      <c r="C30" s="5" t="s">
        <v>54</v>
      </c>
      <c r="D30" s="7" t="s">
        <v>72</v>
      </c>
      <c r="E30" s="32" t="s">
        <v>73</v>
      </c>
      <c r="F30" s="43">
        <f>'A-I-1'!F38</f>
        <v>0</v>
      </c>
    </row>
    <row r="31" spans="1:6" x14ac:dyDescent="0.25">
      <c r="A31" s="5">
        <v>30</v>
      </c>
      <c r="B31" s="5" t="s">
        <v>14</v>
      </c>
      <c r="C31" s="5" t="s">
        <v>54</v>
      </c>
      <c r="D31" s="7" t="s">
        <v>74</v>
      </c>
      <c r="E31" s="32" t="s">
        <v>75</v>
      </c>
      <c r="F31" s="43">
        <f>'A-I-1'!F39</f>
        <v>0</v>
      </c>
    </row>
    <row r="32" spans="1:6" x14ac:dyDescent="0.25">
      <c r="A32" s="5">
        <v>31</v>
      </c>
      <c r="B32" s="5" t="s">
        <v>14</v>
      </c>
      <c r="C32" s="5" t="s">
        <v>54</v>
      </c>
      <c r="D32" s="7" t="s">
        <v>76</v>
      </c>
      <c r="E32" s="32" t="s">
        <v>77</v>
      </c>
      <c r="F32" s="43">
        <f>'A-I-1'!F40</f>
        <v>0</v>
      </c>
    </row>
    <row r="33" spans="1:6" x14ac:dyDescent="0.25">
      <c r="A33" s="5">
        <v>32</v>
      </c>
      <c r="B33" s="5" t="s">
        <v>14</v>
      </c>
      <c r="C33" s="5" t="s">
        <v>54</v>
      </c>
      <c r="D33" s="7" t="s">
        <v>78</v>
      </c>
      <c r="E33" s="32" t="s">
        <v>1476</v>
      </c>
      <c r="F33" s="43">
        <f>'A-I-1'!F41</f>
        <v>0</v>
      </c>
    </row>
    <row r="34" spans="1:6" x14ac:dyDescent="0.25">
      <c r="A34" s="5">
        <v>33</v>
      </c>
      <c r="B34" s="5" t="s">
        <v>14</v>
      </c>
      <c r="C34" s="5" t="s">
        <v>54</v>
      </c>
      <c r="D34" s="7" t="s">
        <v>79</v>
      </c>
      <c r="E34" s="32" t="s">
        <v>80</v>
      </c>
      <c r="F34" s="43">
        <f>'A-I-1'!F42</f>
        <v>0</v>
      </c>
    </row>
    <row r="35" spans="1:6" x14ac:dyDescent="0.25">
      <c r="A35" s="5">
        <v>34</v>
      </c>
      <c r="B35" s="5" t="s">
        <v>14</v>
      </c>
      <c r="C35" s="5" t="s">
        <v>54</v>
      </c>
      <c r="D35" s="7" t="s">
        <v>81</v>
      </c>
      <c r="E35" s="32" t="s">
        <v>1477</v>
      </c>
      <c r="F35" s="43">
        <f>'A-I-1'!F43</f>
        <v>0</v>
      </c>
    </row>
    <row r="36" spans="1:6" x14ac:dyDescent="0.25">
      <c r="A36" s="5">
        <v>35</v>
      </c>
      <c r="B36" s="5" t="s">
        <v>14</v>
      </c>
      <c r="C36" s="5" t="s">
        <v>54</v>
      </c>
      <c r="D36" s="7" t="s">
        <v>82</v>
      </c>
      <c r="E36" s="32" t="s">
        <v>83</v>
      </c>
      <c r="F36" s="43">
        <f>'A-I-1'!F44</f>
        <v>0</v>
      </c>
    </row>
    <row r="37" spans="1:6" x14ac:dyDescent="0.25">
      <c r="A37" s="5">
        <v>36</v>
      </c>
      <c r="B37" s="5" t="s">
        <v>14</v>
      </c>
      <c r="C37" s="5" t="s">
        <v>54</v>
      </c>
      <c r="D37" s="7" t="s">
        <v>84</v>
      </c>
      <c r="E37" s="32" t="s">
        <v>85</v>
      </c>
      <c r="F37" s="46">
        <f>'A-I-1'!F45</f>
        <v>0</v>
      </c>
    </row>
    <row r="38" spans="1:6" x14ac:dyDescent="0.25">
      <c r="A38" s="5">
        <v>37</v>
      </c>
      <c r="B38" s="5" t="s">
        <v>14</v>
      </c>
      <c r="C38" s="5" t="s">
        <v>54</v>
      </c>
      <c r="D38" s="7" t="s">
        <v>86</v>
      </c>
      <c r="E38" s="32" t="s">
        <v>87</v>
      </c>
      <c r="F38" s="46">
        <f>'A-I-1'!F46</f>
        <v>0</v>
      </c>
    </row>
    <row r="39" spans="1:6" x14ac:dyDescent="0.25">
      <c r="A39" s="5">
        <v>38</v>
      </c>
      <c r="B39" s="5" t="s">
        <v>14</v>
      </c>
      <c r="C39" s="5" t="s">
        <v>54</v>
      </c>
      <c r="D39" s="7" t="s">
        <v>88</v>
      </c>
      <c r="E39" s="32" t="s">
        <v>89</v>
      </c>
      <c r="F39" s="46">
        <f>'A-I-1'!F47</f>
        <v>0</v>
      </c>
    </row>
    <row r="40" spans="1:6" x14ac:dyDescent="0.25">
      <c r="A40" s="5">
        <v>39</v>
      </c>
      <c r="B40" s="5" t="s">
        <v>14</v>
      </c>
      <c r="C40" s="5" t="s">
        <v>54</v>
      </c>
      <c r="D40" s="7" t="s">
        <v>90</v>
      </c>
      <c r="E40" s="32" t="s">
        <v>91</v>
      </c>
      <c r="F40" s="46">
        <f>'A-I-1'!F48</f>
        <v>0</v>
      </c>
    </row>
    <row r="41" spans="1:6" x14ac:dyDescent="0.25">
      <c r="A41" s="5">
        <v>40</v>
      </c>
      <c r="B41" s="5" t="s">
        <v>14</v>
      </c>
      <c r="C41" s="5" t="s">
        <v>54</v>
      </c>
      <c r="D41" s="7" t="s">
        <v>92</v>
      </c>
      <c r="E41" s="32" t="s">
        <v>93</v>
      </c>
      <c r="F41" s="46">
        <f>'A-I-1'!F49</f>
        <v>0</v>
      </c>
    </row>
    <row r="42" spans="1:6" x14ac:dyDescent="0.25">
      <c r="A42" s="5">
        <v>41</v>
      </c>
      <c r="B42" s="5" t="s">
        <v>14</v>
      </c>
      <c r="C42" s="5" t="s">
        <v>54</v>
      </c>
      <c r="D42" s="7" t="s">
        <v>94</v>
      </c>
      <c r="E42" s="32" t="s">
        <v>95</v>
      </c>
      <c r="F42" s="46">
        <f>'A-I-1'!F50</f>
        <v>0</v>
      </c>
    </row>
    <row r="43" spans="1:6" x14ac:dyDescent="0.25">
      <c r="A43" s="5">
        <v>42</v>
      </c>
      <c r="B43" s="5" t="s">
        <v>14</v>
      </c>
      <c r="C43" s="5" t="s">
        <v>54</v>
      </c>
      <c r="D43" s="7" t="s">
        <v>96</v>
      </c>
      <c r="E43" s="32" t="s">
        <v>97</v>
      </c>
      <c r="F43" s="46">
        <f>'A-I-1'!F51</f>
        <v>0</v>
      </c>
    </row>
    <row r="44" spans="1:6" x14ac:dyDescent="0.25">
      <c r="A44" s="5">
        <v>43</v>
      </c>
      <c r="B44" s="5" t="s">
        <v>14</v>
      </c>
      <c r="C44" s="5" t="s">
        <v>54</v>
      </c>
      <c r="D44" s="7" t="s">
        <v>98</v>
      </c>
      <c r="E44" s="32" t="s">
        <v>99</v>
      </c>
      <c r="F44" s="46">
        <f>'A-I-1'!F52</f>
        <v>0</v>
      </c>
    </row>
    <row r="45" spans="1:6" x14ac:dyDescent="0.25">
      <c r="A45" s="5">
        <v>44</v>
      </c>
      <c r="B45" s="5" t="s">
        <v>14</v>
      </c>
      <c r="C45" s="5" t="s">
        <v>54</v>
      </c>
      <c r="D45" s="7" t="s">
        <v>100</v>
      </c>
      <c r="E45" s="32" t="s">
        <v>101</v>
      </c>
      <c r="F45" s="46">
        <f>'A-I-1'!F53</f>
        <v>0</v>
      </c>
    </row>
    <row r="46" spans="1:6" x14ac:dyDescent="0.25">
      <c r="A46" s="5">
        <v>45</v>
      </c>
      <c r="B46" s="5" t="s">
        <v>14</v>
      </c>
      <c r="C46" s="5" t="s">
        <v>54</v>
      </c>
      <c r="D46" s="7" t="s">
        <v>102</v>
      </c>
      <c r="E46" s="32" t="s">
        <v>103</v>
      </c>
      <c r="F46" s="46">
        <f>'A-I-1'!F54</f>
        <v>0</v>
      </c>
    </row>
    <row r="47" spans="1:6" x14ac:dyDescent="0.25">
      <c r="A47" s="5">
        <v>46</v>
      </c>
      <c r="B47" s="5" t="s">
        <v>14</v>
      </c>
      <c r="C47" s="5" t="s">
        <v>54</v>
      </c>
      <c r="D47" s="7" t="s">
        <v>104</v>
      </c>
      <c r="E47" s="32" t="s">
        <v>105</v>
      </c>
      <c r="F47" s="46">
        <f>'A-I-1'!F55</f>
        <v>0</v>
      </c>
    </row>
    <row r="48" spans="1:6" x14ac:dyDescent="0.25">
      <c r="A48" s="5">
        <v>47</v>
      </c>
      <c r="B48" s="5" t="s">
        <v>14</v>
      </c>
      <c r="C48" s="5" t="s">
        <v>54</v>
      </c>
      <c r="D48" s="7" t="s">
        <v>106</v>
      </c>
      <c r="E48" s="32" t="s">
        <v>103</v>
      </c>
      <c r="F48" s="46">
        <f>'A-I-1'!F56</f>
        <v>0</v>
      </c>
    </row>
    <row r="49" spans="1:6" x14ac:dyDescent="0.25">
      <c r="A49" s="5">
        <v>48</v>
      </c>
      <c r="B49" s="5" t="s">
        <v>14</v>
      </c>
      <c r="C49" s="5" t="s">
        <v>107</v>
      </c>
      <c r="D49" s="7" t="s">
        <v>108</v>
      </c>
      <c r="E49" s="31" t="s">
        <v>109</v>
      </c>
      <c r="F49" s="43">
        <f>'A-I-1'!F57</f>
        <v>0</v>
      </c>
    </row>
    <row r="50" spans="1:6" x14ac:dyDescent="0.25">
      <c r="A50" s="5">
        <v>49</v>
      </c>
      <c r="B50" s="5" t="s">
        <v>14</v>
      </c>
      <c r="C50" s="5" t="s">
        <v>107</v>
      </c>
      <c r="D50" s="7" t="s">
        <v>110</v>
      </c>
      <c r="E50" s="31" t="s">
        <v>111</v>
      </c>
      <c r="F50" s="43">
        <f>'A-I-1'!F58</f>
        <v>0</v>
      </c>
    </row>
    <row r="51" spans="1:6" x14ac:dyDescent="0.25">
      <c r="A51" s="5">
        <v>50</v>
      </c>
      <c r="B51" s="5" t="s">
        <v>14</v>
      </c>
      <c r="C51" s="5" t="s">
        <v>107</v>
      </c>
      <c r="D51" s="7" t="s">
        <v>112</v>
      </c>
      <c r="E51" s="31" t="s">
        <v>113</v>
      </c>
      <c r="F51" s="43">
        <f>'A-I-1'!F59</f>
        <v>0</v>
      </c>
    </row>
    <row r="52" spans="1:6" x14ac:dyDescent="0.25">
      <c r="A52" s="5">
        <v>51</v>
      </c>
      <c r="B52" s="5" t="s">
        <v>14</v>
      </c>
      <c r="C52" s="5" t="s">
        <v>107</v>
      </c>
      <c r="D52" s="7" t="s">
        <v>114</v>
      </c>
      <c r="E52" s="31" t="s">
        <v>115</v>
      </c>
      <c r="F52" s="43">
        <f>'A-I-1'!F60</f>
        <v>0</v>
      </c>
    </row>
    <row r="53" spans="1:6" x14ac:dyDescent="0.25">
      <c r="A53" s="5">
        <v>52</v>
      </c>
      <c r="B53" s="5" t="s">
        <v>14</v>
      </c>
      <c r="C53" s="5" t="s">
        <v>107</v>
      </c>
      <c r="D53" s="7" t="s">
        <v>116</v>
      </c>
      <c r="E53" s="31" t="s">
        <v>117</v>
      </c>
      <c r="F53" s="43">
        <f>'A-I-1'!F61</f>
        <v>0</v>
      </c>
    </row>
    <row r="54" spans="1:6" x14ac:dyDescent="0.25">
      <c r="A54" s="5">
        <v>53</v>
      </c>
      <c r="B54" s="5" t="s">
        <v>14</v>
      </c>
      <c r="C54" s="5" t="s">
        <v>107</v>
      </c>
      <c r="D54" s="7" t="s">
        <v>118</v>
      </c>
      <c r="E54" s="31" t="s">
        <v>119</v>
      </c>
      <c r="F54" s="43">
        <f>'A-I-1'!F62</f>
        <v>0</v>
      </c>
    </row>
    <row r="55" spans="1:6" x14ac:dyDescent="0.25">
      <c r="A55" s="5">
        <v>54</v>
      </c>
      <c r="B55" s="5" t="s">
        <v>14</v>
      </c>
      <c r="C55" s="5" t="s">
        <v>107</v>
      </c>
      <c r="D55" s="7" t="s">
        <v>120</v>
      </c>
      <c r="E55" s="31" t="s">
        <v>1496</v>
      </c>
      <c r="F55" s="43">
        <f>'A-I-1'!F63</f>
        <v>0</v>
      </c>
    </row>
    <row r="56" spans="1:6" x14ac:dyDescent="0.25">
      <c r="A56" s="5">
        <v>55</v>
      </c>
      <c r="B56" s="5" t="s">
        <v>14</v>
      </c>
      <c r="C56" s="5" t="s">
        <v>107</v>
      </c>
      <c r="D56" s="7" t="s">
        <v>121</v>
      </c>
      <c r="E56" s="32" t="s">
        <v>122</v>
      </c>
      <c r="F56" s="43">
        <f>'A-I-1'!F64</f>
        <v>0</v>
      </c>
    </row>
    <row r="57" spans="1:6" x14ac:dyDescent="0.25">
      <c r="A57" s="5">
        <v>56</v>
      </c>
      <c r="B57" s="5" t="s">
        <v>14</v>
      </c>
      <c r="C57" s="5" t="s">
        <v>107</v>
      </c>
      <c r="D57" s="7" t="s">
        <v>123</v>
      </c>
      <c r="E57" s="32" t="s">
        <v>67</v>
      </c>
      <c r="F57" s="43">
        <f>'A-I-1'!F65</f>
        <v>0</v>
      </c>
    </row>
    <row r="58" spans="1:6" x14ac:dyDescent="0.25">
      <c r="A58" s="5">
        <v>57</v>
      </c>
      <c r="B58" s="5" t="s">
        <v>14</v>
      </c>
      <c r="C58" s="5" t="s">
        <v>107</v>
      </c>
      <c r="D58" s="7" t="s">
        <v>124</v>
      </c>
      <c r="E58" s="32" t="s">
        <v>125</v>
      </c>
      <c r="F58" s="43">
        <f>'A-I-1'!F66</f>
        <v>0</v>
      </c>
    </row>
    <row r="59" spans="1:6" x14ac:dyDescent="0.25">
      <c r="A59" s="5">
        <v>58</v>
      </c>
      <c r="B59" s="5" t="s">
        <v>14</v>
      </c>
      <c r="C59" s="5" t="s">
        <v>107</v>
      </c>
      <c r="D59" s="7" t="s">
        <v>126</v>
      </c>
      <c r="E59" s="32" t="s">
        <v>127</v>
      </c>
      <c r="F59" s="43">
        <f>'A-I-1'!F67</f>
        <v>0</v>
      </c>
    </row>
    <row r="60" spans="1:6" x14ac:dyDescent="0.25">
      <c r="A60" s="5">
        <v>59</v>
      </c>
      <c r="B60" s="5" t="s">
        <v>14</v>
      </c>
      <c r="C60" s="5" t="s">
        <v>107</v>
      </c>
      <c r="D60" s="7" t="s">
        <v>128</v>
      </c>
      <c r="E60" s="32" t="s">
        <v>129</v>
      </c>
      <c r="F60" s="43">
        <f>'A-I-1'!F68</f>
        <v>0</v>
      </c>
    </row>
    <row r="61" spans="1:6" x14ac:dyDescent="0.25">
      <c r="A61" s="5">
        <v>60</v>
      </c>
      <c r="B61" s="5" t="s">
        <v>14</v>
      </c>
      <c r="C61" s="5" t="s">
        <v>107</v>
      </c>
      <c r="D61" s="7" t="s">
        <v>130</v>
      </c>
      <c r="E61" s="32" t="s">
        <v>131</v>
      </c>
      <c r="F61" s="43">
        <f>'A-I-1'!F69</f>
        <v>0</v>
      </c>
    </row>
    <row r="62" spans="1:6" x14ac:dyDescent="0.25">
      <c r="A62" s="5">
        <v>61</v>
      </c>
      <c r="B62" s="5" t="s">
        <v>14</v>
      </c>
      <c r="C62" s="5" t="s">
        <v>107</v>
      </c>
      <c r="D62" s="7" t="s">
        <v>132</v>
      </c>
      <c r="E62" s="32" t="s">
        <v>133</v>
      </c>
      <c r="F62" s="43">
        <f>'A-I-1'!F70</f>
        <v>0</v>
      </c>
    </row>
    <row r="63" spans="1:6" x14ac:dyDescent="0.25">
      <c r="A63" s="5">
        <v>62</v>
      </c>
      <c r="B63" s="5" t="s">
        <v>14</v>
      </c>
      <c r="C63" s="5" t="s">
        <v>107</v>
      </c>
      <c r="D63" s="7" t="s">
        <v>134</v>
      </c>
      <c r="E63" s="32" t="s">
        <v>135</v>
      </c>
      <c r="F63" s="43">
        <f>'A-I-1'!F71</f>
        <v>0</v>
      </c>
    </row>
    <row r="64" spans="1:6" x14ac:dyDescent="0.25">
      <c r="A64" s="5">
        <v>63</v>
      </c>
      <c r="B64" s="5" t="s">
        <v>14</v>
      </c>
      <c r="C64" s="5" t="s">
        <v>107</v>
      </c>
      <c r="D64" s="7" t="s">
        <v>136</v>
      </c>
      <c r="E64" s="32" t="s">
        <v>137</v>
      </c>
      <c r="F64" s="43">
        <f>'A-I-1'!F72</f>
        <v>0</v>
      </c>
    </row>
    <row r="65" spans="1:6" x14ac:dyDescent="0.25">
      <c r="A65" s="5">
        <v>64</v>
      </c>
      <c r="B65" s="5" t="s">
        <v>14</v>
      </c>
      <c r="C65" s="5" t="s">
        <v>107</v>
      </c>
      <c r="D65" s="7" t="s">
        <v>138</v>
      </c>
      <c r="E65" s="32" t="s">
        <v>139</v>
      </c>
      <c r="F65" s="43">
        <f>'A-I-1'!F73</f>
        <v>0</v>
      </c>
    </row>
    <row r="66" spans="1:6" x14ac:dyDescent="0.25">
      <c r="A66" s="5">
        <v>65</v>
      </c>
      <c r="B66" s="5" t="s">
        <v>14</v>
      </c>
      <c r="C66" s="5" t="s">
        <v>107</v>
      </c>
      <c r="D66" s="7" t="s">
        <v>140</v>
      </c>
      <c r="E66" s="32" t="s">
        <v>141</v>
      </c>
      <c r="F66" s="43">
        <f>'A-I-1'!F74</f>
        <v>0</v>
      </c>
    </row>
    <row r="67" spans="1:6" x14ac:dyDescent="0.25">
      <c r="A67" s="5">
        <v>66</v>
      </c>
      <c r="B67" s="5" t="s">
        <v>14</v>
      </c>
      <c r="C67" s="5" t="s">
        <v>107</v>
      </c>
      <c r="D67" s="7" t="s">
        <v>142</v>
      </c>
      <c r="E67" s="32" t="s">
        <v>143</v>
      </c>
      <c r="F67" s="43">
        <f>'A-I-1'!F75</f>
        <v>0</v>
      </c>
    </row>
    <row r="68" spans="1:6" x14ac:dyDescent="0.25">
      <c r="A68" s="5">
        <v>67</v>
      </c>
      <c r="B68" s="5" t="s">
        <v>14</v>
      </c>
      <c r="C68" s="5" t="s">
        <v>107</v>
      </c>
      <c r="D68" s="7" t="s">
        <v>144</v>
      </c>
      <c r="E68" s="32" t="s">
        <v>145</v>
      </c>
      <c r="F68" s="43">
        <f>'A-I-1'!F76</f>
        <v>0</v>
      </c>
    </row>
    <row r="69" spans="1:6" x14ac:dyDescent="0.25">
      <c r="A69" s="5">
        <v>68</v>
      </c>
      <c r="B69" s="5" t="s">
        <v>14</v>
      </c>
      <c r="C69" s="5" t="s">
        <v>107</v>
      </c>
      <c r="D69" s="7" t="s">
        <v>146</v>
      </c>
      <c r="E69" s="32" t="s">
        <v>147</v>
      </c>
      <c r="F69" s="43">
        <f>'A-I-1'!F77</f>
        <v>0</v>
      </c>
    </row>
    <row r="70" spans="1:6" x14ac:dyDescent="0.25">
      <c r="A70" s="5">
        <v>69</v>
      </c>
      <c r="B70" s="5" t="s">
        <v>14</v>
      </c>
      <c r="C70" s="5" t="s">
        <v>107</v>
      </c>
      <c r="D70" s="7" t="s">
        <v>148</v>
      </c>
      <c r="E70" s="32" t="s">
        <v>149</v>
      </c>
      <c r="F70" s="43">
        <f>'A-I-1'!F78</f>
        <v>0</v>
      </c>
    </row>
    <row r="71" spans="1:6" x14ac:dyDescent="0.25">
      <c r="A71" s="5">
        <v>70</v>
      </c>
      <c r="B71" s="5" t="s">
        <v>14</v>
      </c>
      <c r="C71" s="5" t="s">
        <v>107</v>
      </c>
      <c r="D71" s="7" t="s">
        <v>150</v>
      </c>
      <c r="E71" s="32" t="s">
        <v>151</v>
      </c>
      <c r="F71" s="46">
        <f>'A-I-1'!F79</f>
        <v>0</v>
      </c>
    </row>
    <row r="72" spans="1:6" x14ac:dyDescent="0.25">
      <c r="A72" s="5">
        <v>71</v>
      </c>
      <c r="B72" s="5" t="s">
        <v>14</v>
      </c>
      <c r="C72" s="5" t="s">
        <v>107</v>
      </c>
      <c r="D72" s="7" t="s">
        <v>152</v>
      </c>
      <c r="E72" s="32" t="s">
        <v>153</v>
      </c>
      <c r="F72" s="46">
        <f>'A-I-1'!F80</f>
        <v>0</v>
      </c>
    </row>
    <row r="73" spans="1:6" x14ac:dyDescent="0.25">
      <c r="A73" s="5">
        <v>72</v>
      </c>
      <c r="B73" s="5" t="s">
        <v>14</v>
      </c>
      <c r="C73" s="5" t="s">
        <v>107</v>
      </c>
      <c r="D73" s="7" t="s">
        <v>154</v>
      </c>
      <c r="E73" s="32" t="s">
        <v>155</v>
      </c>
      <c r="F73" s="46">
        <f>'A-I-1'!F81</f>
        <v>0</v>
      </c>
    </row>
    <row r="74" spans="1:6" x14ac:dyDescent="0.25">
      <c r="A74" s="5">
        <v>73</v>
      </c>
      <c r="B74" s="5" t="s">
        <v>14</v>
      </c>
      <c r="C74" s="5" t="s">
        <v>107</v>
      </c>
      <c r="D74" s="7" t="s">
        <v>156</v>
      </c>
      <c r="E74" s="32" t="s">
        <v>157</v>
      </c>
      <c r="F74" s="46">
        <f>'A-I-1'!F82</f>
        <v>0</v>
      </c>
    </row>
    <row r="75" spans="1:6" x14ac:dyDescent="0.25">
      <c r="A75" s="5">
        <v>74</v>
      </c>
      <c r="B75" s="5" t="s">
        <v>14</v>
      </c>
      <c r="C75" s="5" t="s">
        <v>107</v>
      </c>
      <c r="D75" s="7" t="s">
        <v>158</v>
      </c>
      <c r="E75" s="32" t="s">
        <v>159</v>
      </c>
      <c r="F75" s="46">
        <f>'A-I-1'!F83</f>
        <v>0</v>
      </c>
    </row>
    <row r="76" spans="1:6" x14ac:dyDescent="0.25">
      <c r="A76" s="5">
        <v>75</v>
      </c>
      <c r="B76" s="5" t="s">
        <v>14</v>
      </c>
      <c r="C76" s="5" t="s">
        <v>107</v>
      </c>
      <c r="D76" s="7" t="s">
        <v>160</v>
      </c>
      <c r="E76" s="32" t="s">
        <v>161</v>
      </c>
      <c r="F76" s="46">
        <f>'A-I-1'!F84</f>
        <v>0</v>
      </c>
    </row>
    <row r="77" spans="1:6" x14ac:dyDescent="0.25">
      <c r="A77" s="5">
        <v>76</v>
      </c>
      <c r="B77" s="5" t="s">
        <v>14</v>
      </c>
      <c r="C77" s="5" t="s">
        <v>107</v>
      </c>
      <c r="D77" s="7" t="s">
        <v>162</v>
      </c>
      <c r="E77" s="32" t="s">
        <v>163</v>
      </c>
      <c r="F77" s="46">
        <f>'A-I-1'!F85</f>
        <v>0</v>
      </c>
    </row>
    <row r="78" spans="1:6" x14ac:dyDescent="0.25">
      <c r="A78" s="5">
        <v>77</v>
      </c>
      <c r="B78" s="5" t="s">
        <v>14</v>
      </c>
      <c r="C78" s="5" t="s">
        <v>107</v>
      </c>
      <c r="D78" s="7" t="s">
        <v>164</v>
      </c>
      <c r="E78" s="32" t="s">
        <v>165</v>
      </c>
      <c r="F78" s="46">
        <f>'A-I-1'!F86</f>
        <v>0</v>
      </c>
    </row>
    <row r="79" spans="1:6" x14ac:dyDescent="0.25">
      <c r="A79" s="5">
        <v>78</v>
      </c>
      <c r="B79" s="5" t="s">
        <v>14</v>
      </c>
      <c r="C79" s="5" t="s">
        <v>107</v>
      </c>
      <c r="D79" s="7" t="s">
        <v>166</v>
      </c>
      <c r="E79" s="32" t="s">
        <v>167</v>
      </c>
      <c r="F79" s="46">
        <f>'A-I-1'!F87</f>
        <v>0</v>
      </c>
    </row>
    <row r="80" spans="1:6" x14ac:dyDescent="0.25">
      <c r="A80" s="5">
        <v>79</v>
      </c>
      <c r="B80" s="5" t="s">
        <v>14</v>
      </c>
      <c r="C80" s="5" t="s">
        <v>107</v>
      </c>
      <c r="D80" s="7" t="s">
        <v>168</v>
      </c>
      <c r="E80" s="32" t="s">
        <v>169</v>
      </c>
      <c r="F80" s="46">
        <f>'A-I-1'!F88</f>
        <v>0</v>
      </c>
    </row>
    <row r="81" spans="1:6" x14ac:dyDescent="0.25">
      <c r="A81" s="5">
        <v>80</v>
      </c>
      <c r="B81" s="5" t="s">
        <v>14</v>
      </c>
      <c r="C81" s="5" t="s">
        <v>107</v>
      </c>
      <c r="D81" s="7" t="s">
        <v>170</v>
      </c>
      <c r="E81" s="32" t="s">
        <v>171</v>
      </c>
      <c r="F81" s="46">
        <f>'A-I-1'!F89</f>
        <v>0</v>
      </c>
    </row>
    <row r="82" spans="1:6" x14ac:dyDescent="0.25">
      <c r="A82" s="5">
        <v>81</v>
      </c>
      <c r="B82" s="5" t="s">
        <v>14</v>
      </c>
      <c r="C82" s="5" t="s">
        <v>107</v>
      </c>
      <c r="D82" s="7" t="s">
        <v>172</v>
      </c>
      <c r="E82" s="32" t="s">
        <v>173</v>
      </c>
      <c r="F82" s="46">
        <f>'A-I-1'!F90</f>
        <v>0</v>
      </c>
    </row>
    <row r="83" spans="1:6" x14ac:dyDescent="0.25">
      <c r="A83" s="5">
        <v>82</v>
      </c>
      <c r="B83" s="5" t="s">
        <v>14</v>
      </c>
      <c r="C83" s="5" t="s">
        <v>107</v>
      </c>
      <c r="D83" s="7" t="s">
        <v>174</v>
      </c>
      <c r="E83" s="32" t="s">
        <v>175</v>
      </c>
      <c r="F83" s="46">
        <f>'A-I-1'!F91</f>
        <v>0</v>
      </c>
    </row>
    <row r="84" spans="1:6" x14ac:dyDescent="0.25">
      <c r="A84" s="5">
        <v>83</v>
      </c>
      <c r="B84" s="5" t="s">
        <v>14</v>
      </c>
      <c r="C84" s="5" t="s">
        <v>107</v>
      </c>
      <c r="D84" s="7" t="s">
        <v>176</v>
      </c>
      <c r="E84" s="32" t="s">
        <v>177</v>
      </c>
      <c r="F84" s="46">
        <f>'A-I-1'!F92</f>
        <v>0</v>
      </c>
    </row>
    <row r="85" spans="1:6" x14ac:dyDescent="0.25">
      <c r="A85" s="5">
        <v>84</v>
      </c>
      <c r="B85" s="5" t="s">
        <v>14</v>
      </c>
      <c r="C85" s="5" t="s">
        <v>107</v>
      </c>
      <c r="D85" s="7" t="s">
        <v>178</v>
      </c>
      <c r="E85" s="32" t="s">
        <v>179</v>
      </c>
      <c r="F85" s="46">
        <f>'A-I-1'!F93</f>
        <v>0</v>
      </c>
    </row>
    <row r="86" spans="1:6" x14ac:dyDescent="0.25">
      <c r="A86" s="5">
        <v>85</v>
      </c>
      <c r="B86" s="5" t="s">
        <v>14</v>
      </c>
      <c r="C86" s="5" t="s">
        <v>107</v>
      </c>
      <c r="D86" s="7" t="s">
        <v>180</v>
      </c>
      <c r="E86" s="32" t="s">
        <v>181</v>
      </c>
      <c r="F86" s="46">
        <f>'A-I-1'!F94</f>
        <v>0</v>
      </c>
    </row>
    <row r="87" spans="1:6" x14ac:dyDescent="0.25">
      <c r="A87" s="5">
        <v>86</v>
      </c>
      <c r="B87" s="5" t="s">
        <v>14</v>
      </c>
      <c r="C87" s="5" t="s">
        <v>107</v>
      </c>
      <c r="D87" s="7" t="s">
        <v>182</v>
      </c>
      <c r="E87" s="32" t="s">
        <v>183</v>
      </c>
      <c r="F87" s="46">
        <f>'A-I-1'!F95</f>
        <v>0</v>
      </c>
    </row>
    <row r="88" spans="1:6" x14ac:dyDescent="0.25">
      <c r="A88" s="5">
        <v>87</v>
      </c>
      <c r="B88" s="5" t="s">
        <v>14</v>
      </c>
      <c r="C88" s="5" t="s">
        <v>107</v>
      </c>
      <c r="D88" s="8" t="s">
        <v>184</v>
      </c>
      <c r="E88" s="32" t="s">
        <v>185</v>
      </c>
      <c r="F88" s="46">
        <f>'A-I-1'!F96</f>
        <v>0</v>
      </c>
    </row>
    <row r="89" spans="1:6" x14ac:dyDescent="0.25">
      <c r="A89" s="5">
        <v>88</v>
      </c>
      <c r="B89" s="5" t="s">
        <v>186</v>
      </c>
      <c r="C89" s="5" t="s">
        <v>54</v>
      </c>
      <c r="D89" s="6" t="s">
        <v>187</v>
      </c>
      <c r="E89" s="31" t="s">
        <v>876</v>
      </c>
      <c r="F89" s="43">
        <f>'A-I-1'!F97</f>
        <v>0</v>
      </c>
    </row>
    <row r="90" spans="1:6" x14ac:dyDescent="0.25">
      <c r="A90" s="5">
        <v>89</v>
      </c>
      <c r="B90" s="5" t="s">
        <v>186</v>
      </c>
      <c r="C90" s="5" t="s">
        <v>54</v>
      </c>
      <c r="D90" s="7" t="s">
        <v>188</v>
      </c>
      <c r="E90" s="31" t="s">
        <v>877</v>
      </c>
      <c r="F90" s="43">
        <f>'A-I-1'!F98</f>
        <v>0</v>
      </c>
    </row>
    <row r="91" spans="1:6" x14ac:dyDescent="0.25">
      <c r="A91" s="5">
        <v>90</v>
      </c>
      <c r="B91" s="5" t="s">
        <v>186</v>
      </c>
      <c r="C91" s="5" t="s">
        <v>54</v>
      </c>
      <c r="D91" s="7" t="s">
        <v>189</v>
      </c>
      <c r="E91" s="31" t="s">
        <v>878</v>
      </c>
      <c r="F91" s="43">
        <f>'A-I-1'!F99</f>
        <v>0</v>
      </c>
    </row>
    <row r="92" spans="1:6" x14ac:dyDescent="0.25">
      <c r="A92" s="5">
        <v>91</v>
      </c>
      <c r="B92" s="5" t="s">
        <v>186</v>
      </c>
      <c r="C92" s="5" t="s">
        <v>54</v>
      </c>
      <c r="D92" s="7" t="s">
        <v>190</v>
      </c>
      <c r="E92" s="31" t="s">
        <v>879</v>
      </c>
      <c r="F92" s="43">
        <f>'A-I-1'!F100</f>
        <v>0</v>
      </c>
    </row>
    <row r="93" spans="1:6" x14ac:dyDescent="0.25">
      <c r="A93" s="5">
        <v>92</v>
      </c>
      <c r="B93" s="5" t="s">
        <v>186</v>
      </c>
      <c r="C93" s="5" t="s">
        <v>54</v>
      </c>
      <c r="D93" s="7" t="s">
        <v>191</v>
      </c>
      <c r="E93" s="31" t="s">
        <v>880</v>
      </c>
      <c r="F93" s="43">
        <f>'A-I-1'!F101</f>
        <v>0</v>
      </c>
    </row>
    <row r="94" spans="1:6" x14ac:dyDescent="0.25">
      <c r="A94" s="5">
        <v>93</v>
      </c>
      <c r="B94" s="5" t="s">
        <v>186</v>
      </c>
      <c r="C94" s="5" t="s">
        <v>54</v>
      </c>
      <c r="D94" s="7" t="s">
        <v>192</v>
      </c>
      <c r="E94" s="31" t="s">
        <v>881</v>
      </c>
      <c r="F94" s="43">
        <f>'A-I-1'!F102</f>
        <v>0</v>
      </c>
    </row>
    <row r="95" spans="1:6" x14ac:dyDescent="0.25">
      <c r="A95" s="5">
        <v>94</v>
      </c>
      <c r="B95" s="5" t="s">
        <v>186</v>
      </c>
      <c r="C95" s="5" t="s">
        <v>54</v>
      </c>
      <c r="D95" s="7" t="s">
        <v>193</v>
      </c>
      <c r="E95" s="31" t="s">
        <v>882</v>
      </c>
      <c r="F95" s="43">
        <f>'A-I-1'!F103</f>
        <v>0</v>
      </c>
    </row>
    <row r="96" spans="1:6" x14ac:dyDescent="0.25">
      <c r="A96" s="5">
        <v>95</v>
      </c>
      <c r="B96" s="5" t="s">
        <v>186</v>
      </c>
      <c r="C96" s="5" t="s">
        <v>54</v>
      </c>
      <c r="D96" s="7" t="s">
        <v>194</v>
      </c>
      <c r="E96" s="31" t="s">
        <v>883</v>
      </c>
      <c r="F96" s="43">
        <f>'A-I-1'!F104</f>
        <v>0</v>
      </c>
    </row>
    <row r="97" spans="1:6" x14ac:dyDescent="0.25">
      <c r="A97" s="5">
        <v>96</v>
      </c>
      <c r="B97" s="5" t="s">
        <v>186</v>
      </c>
      <c r="C97" s="5" t="s">
        <v>54</v>
      </c>
      <c r="D97" s="7" t="s">
        <v>195</v>
      </c>
      <c r="E97" s="31" t="s">
        <v>884</v>
      </c>
      <c r="F97" s="43">
        <f>'A-I-1'!F105</f>
        <v>0</v>
      </c>
    </row>
    <row r="98" spans="1:6" x14ac:dyDescent="0.25">
      <c r="A98" s="5">
        <v>97</v>
      </c>
      <c r="B98" s="5" t="s">
        <v>186</v>
      </c>
      <c r="C98" s="5" t="s">
        <v>54</v>
      </c>
      <c r="D98" s="7" t="s">
        <v>196</v>
      </c>
      <c r="E98" s="31" t="s">
        <v>197</v>
      </c>
      <c r="F98" s="43">
        <f>'A-I-1'!F106</f>
        <v>0</v>
      </c>
    </row>
    <row r="99" spans="1:6" x14ac:dyDescent="0.25">
      <c r="A99" s="5">
        <v>98</v>
      </c>
      <c r="B99" s="5" t="s">
        <v>186</v>
      </c>
      <c r="C99" s="5" t="s">
        <v>54</v>
      </c>
      <c r="D99" s="7" t="s">
        <v>198</v>
      </c>
      <c r="E99" s="31" t="s">
        <v>199</v>
      </c>
      <c r="F99" s="43">
        <f>'A-I-1'!F107</f>
        <v>0</v>
      </c>
    </row>
    <row r="100" spans="1:6" x14ac:dyDescent="0.25">
      <c r="A100" s="5">
        <v>99</v>
      </c>
      <c r="B100" s="5" t="s">
        <v>186</v>
      </c>
      <c r="C100" s="5" t="s">
        <v>54</v>
      </c>
      <c r="D100" s="7" t="s">
        <v>200</v>
      </c>
      <c r="E100" s="31" t="s">
        <v>201</v>
      </c>
      <c r="F100" s="43">
        <f>'A-I-1'!F108</f>
        <v>0</v>
      </c>
    </row>
    <row r="101" spans="1:6" x14ac:dyDescent="0.25">
      <c r="A101" s="5">
        <v>100</v>
      </c>
      <c r="B101" s="5" t="s">
        <v>186</v>
      </c>
      <c r="C101" s="5" t="s">
        <v>54</v>
      </c>
      <c r="D101" s="7" t="s">
        <v>202</v>
      </c>
      <c r="E101" s="31" t="s">
        <v>203</v>
      </c>
      <c r="F101" s="43">
        <f>'A-I-1'!F109</f>
        <v>0</v>
      </c>
    </row>
    <row r="102" spans="1:6" x14ac:dyDescent="0.25">
      <c r="A102" s="5">
        <v>101</v>
      </c>
      <c r="B102" s="5" t="s">
        <v>186</v>
      </c>
      <c r="C102" s="5" t="s">
        <v>54</v>
      </c>
      <c r="D102" s="7" t="s">
        <v>204</v>
      </c>
      <c r="E102" s="31" t="s">
        <v>205</v>
      </c>
      <c r="F102" s="43">
        <f>'A-I-1'!F110</f>
        <v>0</v>
      </c>
    </row>
    <row r="103" spans="1:6" x14ac:dyDescent="0.25">
      <c r="A103" s="5">
        <v>102</v>
      </c>
      <c r="B103" s="5" t="s">
        <v>186</v>
      </c>
      <c r="C103" s="5" t="s">
        <v>54</v>
      </c>
      <c r="D103" s="7" t="s">
        <v>206</v>
      </c>
      <c r="E103" s="31" t="s">
        <v>207</v>
      </c>
      <c r="F103" s="43">
        <f>'A-I-1'!F111</f>
        <v>0</v>
      </c>
    </row>
    <row r="104" spans="1:6" x14ac:dyDescent="0.25">
      <c r="A104" s="5">
        <v>103</v>
      </c>
      <c r="B104" s="5" t="s">
        <v>186</v>
      </c>
      <c r="C104" s="5" t="s">
        <v>54</v>
      </c>
      <c r="D104" s="7" t="s">
        <v>208</v>
      </c>
      <c r="E104" s="31" t="s">
        <v>209</v>
      </c>
      <c r="F104" s="43">
        <f>'A-I-1'!F112</f>
        <v>0</v>
      </c>
    </row>
    <row r="105" spans="1:6" x14ac:dyDescent="0.25">
      <c r="A105" s="5">
        <v>104</v>
      </c>
      <c r="B105" s="5" t="s">
        <v>186</v>
      </c>
      <c r="C105" s="5" t="s">
        <v>54</v>
      </c>
      <c r="D105" s="7" t="s">
        <v>210</v>
      </c>
      <c r="E105" s="31" t="s">
        <v>211</v>
      </c>
      <c r="F105" s="43">
        <f>'A-I-1'!F113</f>
        <v>0</v>
      </c>
    </row>
    <row r="106" spans="1:6" x14ac:dyDescent="0.25">
      <c r="A106" s="5">
        <v>105</v>
      </c>
      <c r="B106" s="5" t="s">
        <v>186</v>
      </c>
      <c r="C106" s="5" t="s">
        <v>902</v>
      </c>
      <c r="D106" s="6" t="s">
        <v>212</v>
      </c>
      <c r="E106" s="31" t="s">
        <v>859</v>
      </c>
      <c r="F106" s="46">
        <f>'A-I-1'!F114</f>
        <v>0</v>
      </c>
    </row>
    <row r="107" spans="1:6" x14ac:dyDescent="0.25">
      <c r="A107" s="5">
        <v>106</v>
      </c>
      <c r="B107" s="5" t="s">
        <v>186</v>
      </c>
      <c r="C107" s="5" t="s">
        <v>902</v>
      </c>
      <c r="D107" s="7" t="s">
        <v>213</v>
      </c>
      <c r="E107" s="31" t="s">
        <v>860</v>
      </c>
      <c r="F107" s="46">
        <f>'A-I-1'!F115</f>
        <v>0</v>
      </c>
    </row>
    <row r="108" spans="1:6" x14ac:dyDescent="0.25">
      <c r="A108" s="5">
        <v>107</v>
      </c>
      <c r="B108" s="5" t="s">
        <v>186</v>
      </c>
      <c r="C108" s="5" t="s">
        <v>902</v>
      </c>
      <c r="D108" s="7" t="s">
        <v>214</v>
      </c>
      <c r="E108" s="31" t="s">
        <v>861</v>
      </c>
      <c r="F108" s="46">
        <f>'A-I-1'!F116</f>
        <v>0</v>
      </c>
    </row>
    <row r="109" spans="1:6" x14ac:dyDescent="0.25">
      <c r="A109" s="5">
        <v>108</v>
      </c>
      <c r="B109" s="5" t="s">
        <v>186</v>
      </c>
      <c r="C109" s="5" t="s">
        <v>902</v>
      </c>
      <c r="D109" s="7" t="s">
        <v>215</v>
      </c>
      <c r="E109" s="31" t="s">
        <v>862</v>
      </c>
      <c r="F109" s="46">
        <f>'A-I-1'!F117</f>
        <v>0</v>
      </c>
    </row>
    <row r="110" spans="1:6" x14ac:dyDescent="0.25">
      <c r="A110" s="5">
        <v>109</v>
      </c>
      <c r="B110" s="5" t="s">
        <v>186</v>
      </c>
      <c r="C110" s="5" t="s">
        <v>902</v>
      </c>
      <c r="D110" s="7" t="s">
        <v>216</v>
      </c>
      <c r="E110" s="31" t="s">
        <v>863</v>
      </c>
      <c r="F110" s="46">
        <f>'A-I-1'!F118</f>
        <v>0</v>
      </c>
    </row>
    <row r="111" spans="1:6" x14ac:dyDescent="0.25">
      <c r="A111" s="5">
        <v>110</v>
      </c>
      <c r="B111" s="5" t="s">
        <v>186</v>
      </c>
      <c r="C111" s="5" t="s">
        <v>902</v>
      </c>
      <c r="D111" s="7" t="s">
        <v>217</v>
      </c>
      <c r="E111" s="31" t="s">
        <v>864</v>
      </c>
      <c r="F111" s="46">
        <f>'A-I-1'!F119</f>
        <v>0</v>
      </c>
    </row>
    <row r="112" spans="1:6" x14ac:dyDescent="0.25">
      <c r="A112" s="5">
        <v>111</v>
      </c>
      <c r="B112" s="5" t="s">
        <v>186</v>
      </c>
      <c r="C112" s="5" t="s">
        <v>902</v>
      </c>
      <c r="D112" s="7" t="s">
        <v>218</v>
      </c>
      <c r="E112" s="31" t="s">
        <v>865</v>
      </c>
      <c r="F112" s="46">
        <f>'A-I-1'!F120</f>
        <v>0</v>
      </c>
    </row>
    <row r="113" spans="1:6" x14ac:dyDescent="0.25">
      <c r="A113" s="5">
        <v>112</v>
      </c>
      <c r="B113" s="5" t="s">
        <v>186</v>
      </c>
      <c r="C113" s="5" t="s">
        <v>902</v>
      </c>
      <c r="D113" s="7" t="s">
        <v>219</v>
      </c>
      <c r="E113" s="31" t="s">
        <v>866</v>
      </c>
      <c r="F113" s="46">
        <f>'A-I-1'!F121</f>
        <v>0</v>
      </c>
    </row>
    <row r="114" spans="1:6" x14ac:dyDescent="0.25">
      <c r="A114" s="5">
        <v>113</v>
      </c>
      <c r="B114" s="5" t="s">
        <v>186</v>
      </c>
      <c r="C114" s="5" t="s">
        <v>902</v>
      </c>
      <c r="D114" s="7" t="s">
        <v>220</v>
      </c>
      <c r="E114" s="31" t="s">
        <v>867</v>
      </c>
      <c r="F114" s="46">
        <f>'A-I-1'!F122</f>
        <v>0</v>
      </c>
    </row>
    <row r="115" spans="1:6" x14ac:dyDescent="0.25">
      <c r="A115" s="5">
        <v>114</v>
      </c>
      <c r="B115" s="5" t="s">
        <v>186</v>
      </c>
      <c r="C115" s="5" t="s">
        <v>902</v>
      </c>
      <c r="D115" s="7" t="s">
        <v>221</v>
      </c>
      <c r="E115" s="31" t="s">
        <v>868</v>
      </c>
      <c r="F115" s="46">
        <f>'A-I-1'!F123</f>
        <v>0</v>
      </c>
    </row>
    <row r="116" spans="1:6" x14ac:dyDescent="0.25">
      <c r="A116" s="5">
        <v>115</v>
      </c>
      <c r="B116" s="5" t="s">
        <v>186</v>
      </c>
      <c r="C116" s="5" t="s">
        <v>902</v>
      </c>
      <c r="D116" s="7" t="s">
        <v>222</v>
      </c>
      <c r="E116" s="31" t="s">
        <v>869</v>
      </c>
      <c r="F116" s="46">
        <f>'A-I-1'!F124</f>
        <v>0</v>
      </c>
    </row>
    <row r="117" spans="1:6" x14ac:dyDescent="0.25">
      <c r="A117" s="5">
        <v>116</v>
      </c>
      <c r="B117" s="5" t="s">
        <v>186</v>
      </c>
      <c r="C117" s="5" t="s">
        <v>902</v>
      </c>
      <c r="D117" s="7" t="s">
        <v>223</v>
      </c>
      <c r="E117" s="31" t="s">
        <v>870</v>
      </c>
      <c r="F117" s="46">
        <f>'A-I-1'!F125</f>
        <v>0</v>
      </c>
    </row>
    <row r="118" spans="1:6" x14ac:dyDescent="0.25">
      <c r="A118" s="5">
        <v>117</v>
      </c>
      <c r="B118" s="5" t="s">
        <v>186</v>
      </c>
      <c r="C118" s="5" t="s">
        <v>902</v>
      </c>
      <c r="D118" s="7" t="s">
        <v>224</v>
      </c>
      <c r="E118" s="31" t="s">
        <v>871</v>
      </c>
      <c r="F118" s="46">
        <f>'A-I-1'!F126</f>
        <v>0</v>
      </c>
    </row>
    <row r="119" spans="1:6" x14ac:dyDescent="0.25">
      <c r="A119" s="5">
        <v>118</v>
      </c>
      <c r="B119" s="5" t="s">
        <v>186</v>
      </c>
      <c r="C119" s="5" t="s">
        <v>902</v>
      </c>
      <c r="D119" s="7" t="s">
        <v>225</v>
      </c>
      <c r="E119" s="31" t="s">
        <v>872</v>
      </c>
      <c r="F119" s="46">
        <f>'A-I-1'!F127</f>
        <v>0</v>
      </c>
    </row>
    <row r="120" spans="1:6" x14ac:dyDescent="0.25">
      <c r="A120" s="5">
        <v>119</v>
      </c>
      <c r="B120" s="5" t="s">
        <v>186</v>
      </c>
      <c r="C120" s="5" t="s">
        <v>902</v>
      </c>
      <c r="D120" s="7" t="s">
        <v>226</v>
      </c>
      <c r="E120" s="31" t="s">
        <v>873</v>
      </c>
      <c r="F120" s="46">
        <f>'A-I-1'!F128</f>
        <v>0</v>
      </c>
    </row>
    <row r="121" spans="1:6" x14ac:dyDescent="0.25">
      <c r="A121" s="5">
        <v>120</v>
      </c>
      <c r="B121" s="5" t="s">
        <v>186</v>
      </c>
      <c r="C121" s="5" t="s">
        <v>902</v>
      </c>
      <c r="D121" s="7" t="s">
        <v>227</v>
      </c>
      <c r="E121" s="31" t="s">
        <v>874</v>
      </c>
      <c r="F121" s="46">
        <f>'A-I-1'!F129</f>
        <v>0</v>
      </c>
    </row>
    <row r="122" spans="1:6" x14ac:dyDescent="0.25">
      <c r="A122" s="5">
        <v>121</v>
      </c>
      <c r="B122" s="5" t="s">
        <v>186</v>
      </c>
      <c r="C122" s="5" t="s">
        <v>902</v>
      </c>
      <c r="D122" s="8" t="s">
        <v>228</v>
      </c>
      <c r="E122" s="31" t="s">
        <v>875</v>
      </c>
      <c r="F122" s="46">
        <f>'A-I-1'!F130</f>
        <v>0</v>
      </c>
    </row>
    <row r="123" spans="1:6" x14ac:dyDescent="0.25">
      <c r="A123" s="5">
        <v>122</v>
      </c>
      <c r="B123" s="5" t="s">
        <v>14</v>
      </c>
      <c r="C123" s="5" t="s">
        <v>232</v>
      </c>
      <c r="D123" s="6" t="s">
        <v>233</v>
      </c>
      <c r="E123" s="31" t="s">
        <v>1242</v>
      </c>
      <c r="F123" s="43">
        <f>'A-I-1'!F131</f>
        <v>0</v>
      </c>
    </row>
    <row r="124" spans="1:6" x14ac:dyDescent="0.25">
      <c r="A124" s="5">
        <v>123</v>
      </c>
      <c r="B124" s="5" t="s">
        <v>14</v>
      </c>
      <c r="C124" s="5" t="s">
        <v>232</v>
      </c>
      <c r="D124" s="7" t="s">
        <v>234</v>
      </c>
      <c r="E124" s="31" t="s">
        <v>1243</v>
      </c>
      <c r="F124" s="43">
        <f>'A-I-1'!F132</f>
        <v>0</v>
      </c>
    </row>
    <row r="125" spans="1:6" x14ac:dyDescent="0.25">
      <c r="A125" s="5">
        <v>124</v>
      </c>
      <c r="B125" s="5" t="s">
        <v>14</v>
      </c>
      <c r="C125" s="5" t="s">
        <v>232</v>
      </c>
      <c r="D125" s="7" t="s">
        <v>235</v>
      </c>
      <c r="E125" s="31" t="s">
        <v>1244</v>
      </c>
      <c r="F125" s="43">
        <f>'A-I-1'!F133</f>
        <v>0</v>
      </c>
    </row>
    <row r="126" spans="1:6" x14ac:dyDescent="0.25">
      <c r="A126" s="5">
        <v>125</v>
      </c>
      <c r="B126" s="5" t="s">
        <v>14</v>
      </c>
      <c r="C126" s="5" t="s">
        <v>232</v>
      </c>
      <c r="D126" s="7" t="s">
        <v>236</v>
      </c>
      <c r="E126" s="31" t="s">
        <v>1245</v>
      </c>
      <c r="F126" s="43">
        <f>'A-I-1'!F134</f>
        <v>0</v>
      </c>
    </row>
    <row r="127" spans="1:6" x14ac:dyDescent="0.25">
      <c r="A127" s="5">
        <v>126</v>
      </c>
      <c r="B127" s="5" t="s">
        <v>14</v>
      </c>
      <c r="C127" s="5" t="s">
        <v>232</v>
      </c>
      <c r="D127" s="7" t="s">
        <v>237</v>
      </c>
      <c r="E127" s="31" t="s">
        <v>1246</v>
      </c>
      <c r="F127" s="43">
        <f>'A-I-1'!F135</f>
        <v>0</v>
      </c>
    </row>
    <row r="128" spans="1:6" x14ac:dyDescent="0.25">
      <c r="A128" s="5">
        <v>127</v>
      </c>
      <c r="B128" s="5" t="s">
        <v>14</v>
      </c>
      <c r="C128" s="5" t="s">
        <v>232</v>
      </c>
      <c r="D128" s="6" t="s">
        <v>238</v>
      </c>
      <c r="E128" s="31" t="s">
        <v>1247</v>
      </c>
      <c r="F128" s="43">
        <f>'A-I-1'!F136</f>
        <v>0</v>
      </c>
    </row>
    <row r="129" spans="1:6" x14ac:dyDescent="0.25">
      <c r="A129" s="5">
        <v>128</v>
      </c>
      <c r="B129" s="5" t="s">
        <v>14</v>
      </c>
      <c r="C129" s="5" t="s">
        <v>232</v>
      </c>
      <c r="D129" s="7" t="s">
        <v>239</v>
      </c>
      <c r="E129" s="31" t="s">
        <v>1248</v>
      </c>
      <c r="F129" s="43">
        <f>'A-I-1'!F137</f>
        <v>0</v>
      </c>
    </row>
    <row r="130" spans="1:6" x14ac:dyDescent="0.25">
      <c r="A130" s="5">
        <v>129</v>
      </c>
      <c r="B130" s="5" t="s">
        <v>14</v>
      </c>
      <c r="C130" s="5" t="s">
        <v>232</v>
      </c>
      <c r="D130" s="7" t="s">
        <v>240</v>
      </c>
      <c r="E130" s="31" t="s">
        <v>1249</v>
      </c>
      <c r="F130" s="43">
        <f>'A-I-1'!F138</f>
        <v>0</v>
      </c>
    </row>
    <row r="131" spans="1:6" x14ac:dyDescent="0.25">
      <c r="A131" s="5">
        <v>130</v>
      </c>
      <c r="B131" s="5" t="s">
        <v>14</v>
      </c>
      <c r="C131" s="5" t="s">
        <v>232</v>
      </c>
      <c r="D131" s="7" t="s">
        <v>241</v>
      </c>
      <c r="E131" s="31" t="s">
        <v>1250</v>
      </c>
      <c r="F131" s="43">
        <f>'A-I-1'!F139</f>
        <v>0</v>
      </c>
    </row>
    <row r="132" spans="1:6" x14ac:dyDescent="0.25">
      <c r="A132" s="5">
        <v>131</v>
      </c>
      <c r="B132" s="5" t="s">
        <v>14</v>
      </c>
      <c r="C132" s="5" t="s">
        <v>232</v>
      </c>
      <c r="D132" s="7" t="s">
        <v>242</v>
      </c>
      <c r="E132" s="31" t="s">
        <v>1251</v>
      </c>
      <c r="F132" s="43">
        <f>'A-I-1'!F140</f>
        <v>0</v>
      </c>
    </row>
    <row r="133" spans="1:6" x14ac:dyDescent="0.25">
      <c r="A133" s="5">
        <v>132</v>
      </c>
      <c r="B133" s="5" t="s">
        <v>14</v>
      </c>
      <c r="C133" s="5" t="s">
        <v>1287</v>
      </c>
      <c r="D133" s="7" t="s">
        <v>1288</v>
      </c>
      <c r="E133" s="31" t="s">
        <v>1302</v>
      </c>
      <c r="F133" s="43">
        <f>'A-I-1'!F141</f>
        <v>0</v>
      </c>
    </row>
    <row r="134" spans="1:6" x14ac:dyDescent="0.25">
      <c r="A134" s="5">
        <v>133</v>
      </c>
      <c r="B134" s="5" t="s">
        <v>14</v>
      </c>
      <c r="C134" s="5" t="s">
        <v>1287</v>
      </c>
      <c r="D134" s="7" t="s">
        <v>1289</v>
      </c>
      <c r="E134" s="31" t="s">
        <v>1303</v>
      </c>
      <c r="F134" s="43">
        <f>'A-I-1'!F142</f>
        <v>0</v>
      </c>
    </row>
    <row r="135" spans="1:6" x14ac:dyDescent="0.25">
      <c r="A135" s="5">
        <v>134</v>
      </c>
      <c r="B135" s="5" t="s">
        <v>14</v>
      </c>
      <c r="C135" s="5" t="s">
        <v>1287</v>
      </c>
      <c r="D135" s="7" t="s">
        <v>1290</v>
      </c>
      <c r="E135" s="31" t="s">
        <v>1304</v>
      </c>
      <c r="F135" s="43">
        <f>'A-I-1'!F143</f>
        <v>0</v>
      </c>
    </row>
    <row r="136" spans="1:6" x14ac:dyDescent="0.25">
      <c r="A136" s="5">
        <v>135</v>
      </c>
      <c r="B136" s="5" t="s">
        <v>14</v>
      </c>
      <c r="C136" s="5" t="s">
        <v>1287</v>
      </c>
      <c r="D136" s="7" t="s">
        <v>1291</v>
      </c>
      <c r="E136" s="31" t="s">
        <v>1305</v>
      </c>
      <c r="F136" s="43">
        <f>'A-I-1'!F144</f>
        <v>0</v>
      </c>
    </row>
    <row r="137" spans="1:6" x14ac:dyDescent="0.25">
      <c r="A137" s="5">
        <v>136</v>
      </c>
      <c r="B137" s="5" t="s">
        <v>14</v>
      </c>
      <c r="C137" s="5" t="s">
        <v>1287</v>
      </c>
      <c r="D137" s="7" t="s">
        <v>1292</v>
      </c>
      <c r="E137" s="31" t="s">
        <v>1306</v>
      </c>
      <c r="F137" s="43">
        <f>'A-I-1'!F145</f>
        <v>0</v>
      </c>
    </row>
    <row r="138" spans="1:6" x14ac:dyDescent="0.25">
      <c r="A138" s="5">
        <v>137</v>
      </c>
      <c r="B138" s="5" t="s">
        <v>14</v>
      </c>
      <c r="C138" s="5" t="s">
        <v>1287</v>
      </c>
      <c r="D138" s="7" t="s">
        <v>1293</v>
      </c>
      <c r="E138" s="31" t="s">
        <v>1307</v>
      </c>
      <c r="F138" s="43">
        <f>'A-I-1'!F146</f>
        <v>0</v>
      </c>
    </row>
    <row r="139" spans="1:6" x14ac:dyDescent="0.25">
      <c r="A139" s="5">
        <v>138</v>
      </c>
      <c r="B139" s="5" t="s">
        <v>14</v>
      </c>
      <c r="C139" s="5" t="s">
        <v>1287</v>
      </c>
      <c r="D139" s="7" t="s">
        <v>1296</v>
      </c>
      <c r="E139" s="31" t="s">
        <v>1308</v>
      </c>
      <c r="F139" s="43">
        <f>'A-I-1'!F147</f>
        <v>0</v>
      </c>
    </row>
    <row r="140" spans="1:6" x14ac:dyDescent="0.25">
      <c r="A140" s="5">
        <v>139</v>
      </c>
      <c r="B140" s="5" t="s">
        <v>14</v>
      </c>
      <c r="C140" s="5" t="s">
        <v>1287</v>
      </c>
      <c r="D140" s="7" t="s">
        <v>1297</v>
      </c>
      <c r="E140" s="31" t="s">
        <v>1309</v>
      </c>
      <c r="F140" s="43">
        <f>'A-I-1'!F148</f>
        <v>0</v>
      </c>
    </row>
    <row r="141" spans="1:6" x14ac:dyDescent="0.25">
      <c r="A141" s="5">
        <v>140</v>
      </c>
      <c r="B141" s="5" t="s">
        <v>14</v>
      </c>
      <c r="C141" s="5" t="s">
        <v>1287</v>
      </c>
      <c r="D141" s="7" t="s">
        <v>1294</v>
      </c>
      <c r="E141" s="31" t="s">
        <v>1310</v>
      </c>
      <c r="F141" s="43">
        <f>'A-I-1'!F149</f>
        <v>0</v>
      </c>
    </row>
    <row r="142" spans="1:6" x14ac:dyDescent="0.25">
      <c r="A142" s="5">
        <v>141</v>
      </c>
      <c r="B142" s="5" t="s">
        <v>14</v>
      </c>
      <c r="C142" s="5" t="s">
        <v>1287</v>
      </c>
      <c r="D142" s="7" t="s">
        <v>1298</v>
      </c>
      <c r="E142" s="31" t="s">
        <v>1311</v>
      </c>
      <c r="F142" s="43">
        <f>'A-I-1'!F150</f>
        <v>0</v>
      </c>
    </row>
    <row r="143" spans="1:6" x14ac:dyDescent="0.25">
      <c r="A143" s="5">
        <v>142</v>
      </c>
      <c r="B143" s="5" t="s">
        <v>14</v>
      </c>
      <c r="C143" s="5" t="s">
        <v>1287</v>
      </c>
      <c r="D143" s="7" t="s">
        <v>1299</v>
      </c>
      <c r="E143" s="31" t="s">
        <v>1312</v>
      </c>
      <c r="F143" s="43">
        <f>'A-I-1'!F151</f>
        <v>0</v>
      </c>
    </row>
    <row r="144" spans="1:6" x14ac:dyDescent="0.25">
      <c r="A144" s="5">
        <v>143</v>
      </c>
      <c r="B144" s="5" t="s">
        <v>14</v>
      </c>
      <c r="C144" s="5" t="s">
        <v>1287</v>
      </c>
      <c r="D144" s="7" t="s">
        <v>1295</v>
      </c>
      <c r="E144" s="31" t="s">
        <v>1313</v>
      </c>
      <c r="F144" s="43">
        <f>'A-I-1'!F152</f>
        <v>0</v>
      </c>
    </row>
    <row r="145" spans="1:6" x14ac:dyDescent="0.25">
      <c r="A145" s="5">
        <v>144</v>
      </c>
      <c r="B145" s="5" t="s">
        <v>14</v>
      </c>
      <c r="C145" s="5" t="s">
        <v>1287</v>
      </c>
      <c r="D145" s="7" t="s">
        <v>1300</v>
      </c>
      <c r="E145" s="31" t="s">
        <v>1314</v>
      </c>
      <c r="F145" s="43">
        <f>'A-I-1'!F153</f>
        <v>0</v>
      </c>
    </row>
    <row r="146" spans="1:6" x14ac:dyDescent="0.25">
      <c r="A146" s="5">
        <v>145</v>
      </c>
      <c r="B146" s="5" t="s">
        <v>14</v>
      </c>
      <c r="C146" s="5" t="s">
        <v>1287</v>
      </c>
      <c r="D146" s="7" t="s">
        <v>1301</v>
      </c>
      <c r="E146" s="31" t="s">
        <v>1315</v>
      </c>
      <c r="F146" s="43">
        <f>'A-I-1'!F154</f>
        <v>0</v>
      </c>
    </row>
    <row r="147" spans="1:6" x14ac:dyDescent="0.25">
      <c r="A147" s="5">
        <v>146</v>
      </c>
      <c r="B147" s="5" t="s">
        <v>14</v>
      </c>
      <c r="C147" s="5" t="s">
        <v>243</v>
      </c>
      <c r="D147" s="7" t="s">
        <v>244</v>
      </c>
      <c r="E147" s="31" t="s">
        <v>1252</v>
      </c>
      <c r="F147" s="43">
        <f>'A-I-1'!F155</f>
        <v>0</v>
      </c>
    </row>
    <row r="148" spans="1:6" x14ac:dyDescent="0.25">
      <c r="A148" s="5">
        <v>147</v>
      </c>
      <c r="B148" s="5" t="s">
        <v>14</v>
      </c>
      <c r="C148" s="5" t="s">
        <v>243</v>
      </c>
      <c r="D148" s="7" t="s">
        <v>245</v>
      </c>
      <c r="E148" s="31" t="s">
        <v>1253</v>
      </c>
      <c r="F148" s="43">
        <f>'A-I-1'!F156</f>
        <v>0</v>
      </c>
    </row>
    <row r="149" spans="1:6" x14ac:dyDescent="0.25">
      <c r="A149" s="5">
        <v>148</v>
      </c>
      <c r="B149" s="5" t="s">
        <v>14</v>
      </c>
      <c r="C149" s="5" t="s">
        <v>243</v>
      </c>
      <c r="D149" s="7" t="s">
        <v>246</v>
      </c>
      <c r="E149" s="31" t="s">
        <v>1254</v>
      </c>
      <c r="F149" s="43">
        <f>'A-I-1'!F157</f>
        <v>0</v>
      </c>
    </row>
    <row r="150" spans="1:6" x14ac:dyDescent="0.25">
      <c r="A150" s="5">
        <v>149</v>
      </c>
      <c r="B150" s="5" t="s">
        <v>14</v>
      </c>
      <c r="C150" s="5" t="s">
        <v>243</v>
      </c>
      <c r="D150" s="7" t="s">
        <v>247</v>
      </c>
      <c r="E150" s="31" t="s">
        <v>1255</v>
      </c>
      <c r="F150" s="43">
        <f>'A-I-1'!F158</f>
        <v>0</v>
      </c>
    </row>
    <row r="151" spans="1:6" x14ac:dyDescent="0.25">
      <c r="A151" s="5">
        <v>150</v>
      </c>
      <c r="B151" s="5" t="s">
        <v>14</v>
      </c>
      <c r="C151" s="5" t="s">
        <v>243</v>
      </c>
      <c r="D151" s="7" t="s">
        <v>248</v>
      </c>
      <c r="E151" s="31" t="s">
        <v>1256</v>
      </c>
      <c r="F151" s="43">
        <f>'A-I-1'!F159</f>
        <v>0</v>
      </c>
    </row>
    <row r="152" spans="1:6" x14ac:dyDescent="0.25">
      <c r="A152" s="5">
        <v>151</v>
      </c>
      <c r="B152" s="5" t="s">
        <v>14</v>
      </c>
      <c r="C152" s="5" t="s">
        <v>243</v>
      </c>
      <c r="D152" s="7" t="s">
        <v>249</v>
      </c>
      <c r="E152" s="31" t="s">
        <v>1257</v>
      </c>
      <c r="F152" s="43">
        <f>'A-I-1'!F160</f>
        <v>0</v>
      </c>
    </row>
    <row r="153" spans="1:6" x14ac:dyDescent="0.25">
      <c r="A153" s="5">
        <v>152</v>
      </c>
      <c r="B153" s="5" t="s">
        <v>14</v>
      </c>
      <c r="C153" s="5" t="s">
        <v>243</v>
      </c>
      <c r="D153" s="7" t="s">
        <v>250</v>
      </c>
      <c r="E153" s="31" t="s">
        <v>1258</v>
      </c>
      <c r="F153" s="43">
        <f>'A-I-1'!F161</f>
        <v>0</v>
      </c>
    </row>
    <row r="154" spans="1:6" x14ac:dyDescent="0.25">
      <c r="A154" s="5">
        <v>153</v>
      </c>
      <c r="B154" s="5" t="s">
        <v>14</v>
      </c>
      <c r="C154" s="5" t="s">
        <v>243</v>
      </c>
      <c r="D154" s="7" t="s">
        <v>251</v>
      </c>
      <c r="E154" s="31" t="s">
        <v>1259</v>
      </c>
      <c r="F154" s="43">
        <f>'A-I-1'!F162</f>
        <v>0</v>
      </c>
    </row>
    <row r="155" spans="1:6" x14ac:dyDescent="0.25">
      <c r="A155" s="5">
        <v>154</v>
      </c>
      <c r="B155" s="5" t="s">
        <v>14</v>
      </c>
      <c r="C155" s="5" t="s">
        <v>243</v>
      </c>
      <c r="D155" s="7" t="s">
        <v>252</v>
      </c>
      <c r="E155" s="31" t="s">
        <v>1260</v>
      </c>
      <c r="F155" s="43">
        <f>'A-I-1'!F163</f>
        <v>0</v>
      </c>
    </row>
    <row r="156" spans="1:6" x14ac:dyDescent="0.25">
      <c r="A156" s="5">
        <v>155</v>
      </c>
      <c r="B156" s="5" t="s">
        <v>14</v>
      </c>
      <c r="C156" s="5" t="s">
        <v>243</v>
      </c>
      <c r="D156" s="7" t="s">
        <v>253</v>
      </c>
      <c r="E156" s="31" t="s">
        <v>1261</v>
      </c>
      <c r="F156" s="43">
        <f>'A-I-1'!F164</f>
        <v>0</v>
      </c>
    </row>
    <row r="157" spans="1:6" x14ac:dyDescent="0.25">
      <c r="A157" s="5">
        <v>156</v>
      </c>
      <c r="B157" s="5" t="s">
        <v>14</v>
      </c>
      <c r="C157" s="5" t="s">
        <v>243</v>
      </c>
      <c r="D157" s="7" t="s">
        <v>254</v>
      </c>
      <c r="E157" s="31" t="s">
        <v>1262</v>
      </c>
      <c r="F157" s="43">
        <f>'A-I-1'!F165</f>
        <v>0</v>
      </c>
    </row>
    <row r="158" spans="1:6" x14ac:dyDescent="0.25">
      <c r="A158" s="5">
        <v>157</v>
      </c>
      <c r="B158" s="5" t="s">
        <v>14</v>
      </c>
      <c r="C158" s="5" t="s">
        <v>243</v>
      </c>
      <c r="D158" s="7" t="s">
        <v>255</v>
      </c>
      <c r="E158" s="31" t="s">
        <v>1263</v>
      </c>
      <c r="F158" s="43">
        <f>'A-I-1'!F166</f>
        <v>0</v>
      </c>
    </row>
    <row r="159" spans="1:6" x14ac:dyDescent="0.25">
      <c r="A159" s="5">
        <v>158</v>
      </c>
      <c r="B159" s="5" t="s">
        <v>14</v>
      </c>
      <c r="C159" s="5" t="s">
        <v>243</v>
      </c>
      <c r="D159" s="7" t="s">
        <v>256</v>
      </c>
      <c r="E159" s="31" t="s">
        <v>1264</v>
      </c>
      <c r="F159" s="43">
        <f>'A-I-1'!F167</f>
        <v>0</v>
      </c>
    </row>
    <row r="160" spans="1:6" x14ac:dyDescent="0.25">
      <c r="A160" s="5">
        <v>159</v>
      </c>
      <c r="B160" s="5" t="s">
        <v>14</v>
      </c>
      <c r="C160" s="5" t="s">
        <v>243</v>
      </c>
      <c r="D160" s="7" t="s">
        <v>257</v>
      </c>
      <c r="E160" s="31" t="s">
        <v>1265</v>
      </c>
      <c r="F160" s="43">
        <f>'A-I-1'!F168</f>
        <v>0</v>
      </c>
    </row>
    <row r="161" spans="1:6" x14ac:dyDescent="0.25">
      <c r="A161" s="5">
        <v>160</v>
      </c>
      <c r="B161" s="5" t="s">
        <v>14</v>
      </c>
      <c r="C161" s="5" t="s">
        <v>243</v>
      </c>
      <c r="D161" s="7" t="s">
        <v>258</v>
      </c>
      <c r="E161" s="31" t="s">
        <v>1266</v>
      </c>
      <c r="F161" s="43">
        <f>'A-I-1'!F169</f>
        <v>0</v>
      </c>
    </row>
    <row r="162" spans="1:6" x14ac:dyDescent="0.25">
      <c r="A162" s="5">
        <v>161</v>
      </c>
      <c r="B162" s="5" t="s">
        <v>14</v>
      </c>
      <c r="C162" s="5" t="s">
        <v>243</v>
      </c>
      <c r="D162" s="7" t="s">
        <v>259</v>
      </c>
      <c r="E162" s="31" t="s">
        <v>1267</v>
      </c>
      <c r="F162" s="43">
        <f>'A-I-1'!F170</f>
        <v>0</v>
      </c>
    </row>
    <row r="163" spans="1:6" x14ac:dyDescent="0.25">
      <c r="A163" s="5">
        <v>162</v>
      </c>
      <c r="B163" s="5" t="s">
        <v>14</v>
      </c>
      <c r="C163" s="5" t="s">
        <v>260</v>
      </c>
      <c r="D163" s="7" t="s">
        <v>261</v>
      </c>
      <c r="E163" s="31" t="s">
        <v>1268</v>
      </c>
      <c r="F163" s="43">
        <f>'A-I-1'!F171</f>
        <v>0</v>
      </c>
    </row>
    <row r="164" spans="1:6" x14ac:dyDescent="0.25">
      <c r="A164" s="5">
        <v>163</v>
      </c>
      <c r="B164" s="5" t="s">
        <v>14</v>
      </c>
      <c r="C164" s="5" t="s">
        <v>260</v>
      </c>
      <c r="D164" s="7" t="s">
        <v>262</v>
      </c>
      <c r="E164" s="31" t="s">
        <v>1269</v>
      </c>
      <c r="F164" s="43">
        <f>'A-I-1'!F172</f>
        <v>0</v>
      </c>
    </row>
    <row r="165" spans="1:6" x14ac:dyDescent="0.25">
      <c r="A165" s="5">
        <v>164</v>
      </c>
      <c r="B165" s="5" t="s">
        <v>14</v>
      </c>
      <c r="C165" s="5" t="s">
        <v>260</v>
      </c>
      <c r="D165" s="7" t="s">
        <v>263</v>
      </c>
      <c r="E165" s="31" t="s">
        <v>1270</v>
      </c>
      <c r="F165" s="43">
        <f>'A-I-1'!F173</f>
        <v>0</v>
      </c>
    </row>
    <row r="166" spans="1:6" x14ac:dyDescent="0.25">
      <c r="A166" s="5">
        <v>165</v>
      </c>
      <c r="B166" s="5" t="s">
        <v>14</v>
      </c>
      <c r="C166" s="5" t="s">
        <v>260</v>
      </c>
      <c r="D166" s="7" t="s">
        <v>264</v>
      </c>
      <c r="E166" s="31" t="s">
        <v>1271</v>
      </c>
      <c r="F166" s="43">
        <f>'A-I-1'!F174</f>
        <v>0</v>
      </c>
    </row>
    <row r="167" spans="1:6" x14ac:dyDescent="0.25">
      <c r="A167" s="5">
        <v>166</v>
      </c>
      <c r="B167" s="5" t="s">
        <v>14</v>
      </c>
      <c r="C167" s="5" t="s">
        <v>260</v>
      </c>
      <c r="D167" s="7" t="s">
        <v>265</v>
      </c>
      <c r="E167" s="31" t="s">
        <v>1272</v>
      </c>
      <c r="F167" s="43">
        <f>'A-I-1'!F175</f>
        <v>0</v>
      </c>
    </row>
    <row r="168" spans="1:6" x14ac:dyDescent="0.25">
      <c r="A168" s="5">
        <v>167</v>
      </c>
      <c r="B168" s="5" t="s">
        <v>14</v>
      </c>
      <c r="C168" s="5" t="s">
        <v>260</v>
      </c>
      <c r="D168" s="7" t="s">
        <v>266</v>
      </c>
      <c r="E168" s="31" t="s">
        <v>1273</v>
      </c>
      <c r="F168" s="43">
        <f>'A-I-1'!F176</f>
        <v>0</v>
      </c>
    </row>
    <row r="169" spans="1:6" x14ac:dyDescent="0.25">
      <c r="A169" s="5">
        <v>168</v>
      </c>
      <c r="B169" s="5" t="s">
        <v>14</v>
      </c>
      <c r="C169" s="5" t="s">
        <v>260</v>
      </c>
      <c r="D169" s="7" t="s">
        <v>267</v>
      </c>
      <c r="E169" s="31" t="s">
        <v>1274</v>
      </c>
      <c r="F169" s="43">
        <f>'A-I-1'!F177</f>
        <v>0</v>
      </c>
    </row>
    <row r="170" spans="1:6" x14ac:dyDescent="0.25">
      <c r="A170" s="5">
        <v>169</v>
      </c>
      <c r="B170" s="5" t="s">
        <v>14</v>
      </c>
      <c r="C170" s="5" t="s">
        <v>260</v>
      </c>
      <c r="D170" s="7" t="s">
        <v>268</v>
      </c>
      <c r="E170" s="31" t="s">
        <v>1275</v>
      </c>
      <c r="F170" s="43">
        <f>'A-I-1'!F178</f>
        <v>0</v>
      </c>
    </row>
    <row r="171" spans="1:6" x14ac:dyDescent="0.25">
      <c r="A171" s="5">
        <v>170</v>
      </c>
      <c r="B171" s="5" t="s">
        <v>14</v>
      </c>
      <c r="C171" s="5" t="s">
        <v>260</v>
      </c>
      <c r="D171" s="7" t="s">
        <v>269</v>
      </c>
      <c r="E171" s="31" t="s">
        <v>1277</v>
      </c>
      <c r="F171" s="43">
        <f>'A-I-1'!F179</f>
        <v>0</v>
      </c>
    </row>
    <row r="172" spans="1:6" x14ac:dyDescent="0.25">
      <c r="A172" s="5">
        <v>171</v>
      </c>
      <c r="B172" s="5" t="s">
        <v>14</v>
      </c>
      <c r="C172" s="5" t="s">
        <v>260</v>
      </c>
      <c r="D172" s="7" t="s">
        <v>270</v>
      </c>
      <c r="E172" s="31" t="s">
        <v>1276</v>
      </c>
      <c r="F172" s="43">
        <f>'A-I-1'!F180</f>
        <v>0</v>
      </c>
    </row>
    <row r="173" spans="1:6" x14ac:dyDescent="0.25">
      <c r="A173" s="5">
        <v>172</v>
      </c>
      <c r="B173" s="5" t="s">
        <v>14</v>
      </c>
      <c r="C173" s="5" t="s">
        <v>260</v>
      </c>
      <c r="D173" s="7" t="s">
        <v>271</v>
      </c>
      <c r="E173" s="31" t="s">
        <v>1278</v>
      </c>
      <c r="F173" s="43">
        <f>'A-I-1'!F181</f>
        <v>0</v>
      </c>
    </row>
    <row r="174" spans="1:6" x14ac:dyDescent="0.25">
      <c r="A174" s="5">
        <v>173</v>
      </c>
      <c r="B174" s="5" t="s">
        <v>14</v>
      </c>
      <c r="C174" s="5" t="s">
        <v>260</v>
      </c>
      <c r="D174" s="7" t="s">
        <v>272</v>
      </c>
      <c r="E174" s="31" t="s">
        <v>1279</v>
      </c>
      <c r="F174" s="43">
        <f>'A-I-1'!F182</f>
        <v>0</v>
      </c>
    </row>
    <row r="175" spans="1:6" x14ac:dyDescent="0.25">
      <c r="A175" s="5">
        <v>174</v>
      </c>
      <c r="B175" s="5" t="s">
        <v>14</v>
      </c>
      <c r="C175" s="5" t="s">
        <v>260</v>
      </c>
      <c r="D175" s="7" t="s">
        <v>273</v>
      </c>
      <c r="E175" s="31" t="s">
        <v>1280</v>
      </c>
      <c r="F175" s="43">
        <f>'A-I-1'!F183</f>
        <v>0</v>
      </c>
    </row>
    <row r="176" spans="1:6" x14ac:dyDescent="0.25">
      <c r="A176" s="5">
        <v>175</v>
      </c>
      <c r="B176" s="5" t="s">
        <v>14</v>
      </c>
      <c r="C176" s="5" t="s">
        <v>260</v>
      </c>
      <c r="D176" s="7" t="s">
        <v>274</v>
      </c>
      <c r="E176" s="31" t="s">
        <v>1281</v>
      </c>
      <c r="F176" s="43">
        <f>'A-I-1'!F184</f>
        <v>0</v>
      </c>
    </row>
    <row r="177" spans="1:6" x14ac:dyDescent="0.25">
      <c r="A177" s="5">
        <v>176</v>
      </c>
      <c r="B177" s="5" t="s">
        <v>14</v>
      </c>
      <c r="C177" s="5" t="s">
        <v>260</v>
      </c>
      <c r="D177" s="7" t="s">
        <v>275</v>
      </c>
      <c r="E177" s="31" t="s">
        <v>1283</v>
      </c>
      <c r="F177" s="43">
        <f>'A-I-1'!F185</f>
        <v>0</v>
      </c>
    </row>
    <row r="178" spans="1:6" x14ac:dyDescent="0.25">
      <c r="A178" s="5">
        <v>177</v>
      </c>
      <c r="B178" s="5" t="s">
        <v>14</v>
      </c>
      <c r="C178" s="5" t="s">
        <v>260</v>
      </c>
      <c r="D178" s="7" t="s">
        <v>1282</v>
      </c>
      <c r="E178" s="31" t="s">
        <v>1284</v>
      </c>
      <c r="F178" s="43">
        <f>'A-I-1'!F186</f>
        <v>0</v>
      </c>
    </row>
    <row r="179" spans="1:6" x14ac:dyDescent="0.25">
      <c r="A179" s="5">
        <v>178</v>
      </c>
      <c r="B179" s="5" t="s">
        <v>14</v>
      </c>
      <c r="C179" s="5" t="s">
        <v>260</v>
      </c>
      <c r="D179" s="7" t="s">
        <v>276</v>
      </c>
      <c r="E179" s="31" t="s">
        <v>211</v>
      </c>
      <c r="F179" s="43">
        <f>'A-I-1'!F187</f>
        <v>0</v>
      </c>
    </row>
    <row r="180" spans="1:6" x14ac:dyDescent="0.25">
      <c r="A180" s="5">
        <v>179</v>
      </c>
      <c r="B180" s="5" t="s">
        <v>186</v>
      </c>
      <c r="C180" s="5" t="s">
        <v>903</v>
      </c>
      <c r="D180" s="7" t="s">
        <v>277</v>
      </c>
      <c r="E180" s="31" t="s">
        <v>1499</v>
      </c>
      <c r="F180" s="43">
        <f>'A-I-1'!F188</f>
        <v>0</v>
      </c>
    </row>
    <row r="181" spans="1:6" x14ac:dyDescent="0.25">
      <c r="A181" s="5">
        <v>180</v>
      </c>
      <c r="B181" s="5" t="s">
        <v>186</v>
      </c>
      <c r="C181" s="5" t="s">
        <v>15</v>
      </c>
      <c r="D181" s="7" t="s">
        <v>278</v>
      </c>
      <c r="E181" s="31" t="s">
        <v>1500</v>
      </c>
      <c r="F181" s="43">
        <f>'A-I-1'!F189</f>
        <v>0</v>
      </c>
    </row>
    <row r="182" spans="1:6" x14ac:dyDescent="0.25">
      <c r="A182" s="5">
        <v>181</v>
      </c>
      <c r="B182" s="5" t="s">
        <v>186</v>
      </c>
      <c r="C182" s="5" t="s">
        <v>903</v>
      </c>
      <c r="D182" s="7" t="s">
        <v>279</v>
      </c>
      <c r="E182" s="31" t="s">
        <v>1501</v>
      </c>
      <c r="F182" s="43">
        <f>'A-I-1'!F190</f>
        <v>0</v>
      </c>
    </row>
    <row r="183" spans="1:6" x14ac:dyDescent="0.25">
      <c r="A183" s="5">
        <v>182</v>
      </c>
      <c r="B183" s="5" t="s">
        <v>186</v>
      </c>
      <c r="C183" s="5" t="s">
        <v>903</v>
      </c>
      <c r="D183" s="7" t="s">
        <v>280</v>
      </c>
      <c r="E183" s="30" t="s">
        <v>888</v>
      </c>
      <c r="F183" s="43">
        <f>'A-I-1'!F191</f>
        <v>0</v>
      </c>
    </row>
    <row r="184" spans="1:6" x14ac:dyDescent="0.25">
      <c r="A184" s="5">
        <v>183</v>
      </c>
      <c r="B184" s="5" t="s">
        <v>186</v>
      </c>
      <c r="C184" s="5" t="s">
        <v>903</v>
      </c>
      <c r="D184" s="7" t="s">
        <v>281</v>
      </c>
      <c r="E184" s="30" t="s">
        <v>887</v>
      </c>
      <c r="F184" s="43">
        <f>'A-I-1'!F192</f>
        <v>0</v>
      </c>
    </row>
    <row r="185" spans="1:6" x14ac:dyDescent="0.25">
      <c r="A185" s="5">
        <v>184</v>
      </c>
      <c r="B185" s="5" t="s">
        <v>186</v>
      </c>
      <c r="C185" s="5" t="s">
        <v>903</v>
      </c>
      <c r="D185" s="7" t="s">
        <v>282</v>
      </c>
      <c r="E185" s="31" t="s">
        <v>885</v>
      </c>
      <c r="F185" s="43">
        <f>'A-I-1'!F193</f>
        <v>0</v>
      </c>
    </row>
    <row r="186" spans="1:6" x14ac:dyDescent="0.25">
      <c r="A186" s="5">
        <v>185</v>
      </c>
      <c r="B186" s="5" t="s">
        <v>186</v>
      </c>
      <c r="C186" s="5" t="s">
        <v>903</v>
      </c>
      <c r="D186" s="7" t="s">
        <v>283</v>
      </c>
      <c r="E186" s="30" t="s">
        <v>886</v>
      </c>
      <c r="F186" s="43">
        <f>'A-I-1'!F194</f>
        <v>0</v>
      </c>
    </row>
    <row r="187" spans="1:6" x14ac:dyDescent="0.25">
      <c r="A187" s="5">
        <v>186</v>
      </c>
      <c r="B187" s="5" t="s">
        <v>186</v>
      </c>
      <c r="C187" s="5" t="s">
        <v>903</v>
      </c>
      <c r="D187" s="7" t="s">
        <v>284</v>
      </c>
      <c r="E187" s="30" t="s">
        <v>889</v>
      </c>
      <c r="F187" s="43">
        <f>'A-I-1'!F195</f>
        <v>0</v>
      </c>
    </row>
    <row r="188" spans="1:6" x14ac:dyDescent="0.25">
      <c r="A188" s="5">
        <v>187</v>
      </c>
      <c r="B188" s="5" t="s">
        <v>186</v>
      </c>
      <c r="C188" s="5" t="s">
        <v>903</v>
      </c>
      <c r="D188" s="7" t="s">
        <v>285</v>
      </c>
      <c r="E188" s="30" t="s">
        <v>890</v>
      </c>
      <c r="F188" s="43">
        <f>'A-I-1'!F196</f>
        <v>0</v>
      </c>
    </row>
    <row r="189" spans="1:6" x14ac:dyDescent="0.25">
      <c r="A189" s="5">
        <v>188</v>
      </c>
      <c r="B189" s="5" t="s">
        <v>186</v>
      </c>
      <c r="C189" s="5" t="s">
        <v>903</v>
      </c>
      <c r="D189" s="7" t="s">
        <v>286</v>
      </c>
      <c r="E189" s="30" t="s">
        <v>891</v>
      </c>
      <c r="F189" s="43">
        <f>'A-I-1'!F197</f>
        <v>0</v>
      </c>
    </row>
    <row r="190" spans="1:6" x14ac:dyDescent="0.25">
      <c r="A190" s="5">
        <v>189</v>
      </c>
      <c r="B190" s="5" t="s">
        <v>186</v>
      </c>
      <c r="C190" s="5" t="s">
        <v>903</v>
      </c>
      <c r="D190" s="7" t="s">
        <v>287</v>
      </c>
      <c r="E190" s="30" t="s">
        <v>892</v>
      </c>
      <c r="F190" s="43">
        <f>'A-I-1'!F198</f>
        <v>0</v>
      </c>
    </row>
    <row r="191" spans="1:6" x14ac:dyDescent="0.25">
      <c r="A191" s="5">
        <v>190</v>
      </c>
      <c r="B191" s="5" t="s">
        <v>186</v>
      </c>
      <c r="C191" s="5" t="s">
        <v>903</v>
      </c>
      <c r="D191" s="7" t="s">
        <v>288</v>
      </c>
      <c r="E191" s="30" t="s">
        <v>893</v>
      </c>
      <c r="F191" s="43">
        <f>'A-I-1'!F199</f>
        <v>0</v>
      </c>
    </row>
    <row r="192" spans="1:6" x14ac:dyDescent="0.25">
      <c r="A192" s="5">
        <v>191</v>
      </c>
      <c r="B192" s="5" t="s">
        <v>186</v>
      </c>
      <c r="C192" s="5" t="s">
        <v>903</v>
      </c>
      <c r="D192" s="7" t="s">
        <v>289</v>
      </c>
      <c r="E192" s="30" t="s">
        <v>894</v>
      </c>
      <c r="F192" s="43">
        <f>'A-I-1'!F200</f>
        <v>0</v>
      </c>
    </row>
    <row r="193" spans="1:6" x14ac:dyDescent="0.25">
      <c r="A193" s="5">
        <v>192</v>
      </c>
      <c r="B193" s="5" t="s">
        <v>186</v>
      </c>
      <c r="C193" s="5" t="s">
        <v>903</v>
      </c>
      <c r="D193" s="7" t="s">
        <v>290</v>
      </c>
      <c r="E193" s="30" t="s">
        <v>895</v>
      </c>
      <c r="F193" s="43">
        <f>'A-I-1'!F201</f>
        <v>0</v>
      </c>
    </row>
    <row r="194" spans="1:6" x14ac:dyDescent="0.25">
      <c r="A194" s="5">
        <v>193</v>
      </c>
      <c r="B194" s="5" t="s">
        <v>186</v>
      </c>
      <c r="C194" s="5" t="s">
        <v>903</v>
      </c>
      <c r="D194" s="7" t="s">
        <v>291</v>
      </c>
      <c r="E194" s="30" t="s">
        <v>896</v>
      </c>
      <c r="F194" s="43">
        <f>'A-I-1'!F202</f>
        <v>0</v>
      </c>
    </row>
    <row r="195" spans="1:6" x14ac:dyDescent="0.25">
      <c r="A195" s="5">
        <v>194</v>
      </c>
      <c r="B195" s="5" t="s">
        <v>186</v>
      </c>
      <c r="C195" s="5" t="s">
        <v>903</v>
      </c>
      <c r="D195" s="7" t="s">
        <v>292</v>
      </c>
      <c r="E195" s="30" t="s">
        <v>897</v>
      </c>
      <c r="F195" s="43">
        <f>'A-I-1'!F203</f>
        <v>0</v>
      </c>
    </row>
    <row r="196" spans="1:6" x14ac:dyDescent="0.25">
      <c r="A196" s="5">
        <v>195</v>
      </c>
      <c r="B196" s="5" t="s">
        <v>186</v>
      </c>
      <c r="C196" s="5" t="s">
        <v>903</v>
      </c>
      <c r="D196" s="7" t="s">
        <v>293</v>
      </c>
      <c r="E196" s="30" t="s">
        <v>898</v>
      </c>
      <c r="F196" s="43">
        <f>'A-I-1'!F204</f>
        <v>0</v>
      </c>
    </row>
    <row r="197" spans="1:6" x14ac:dyDescent="0.25">
      <c r="A197" s="5">
        <v>196</v>
      </c>
      <c r="B197" s="5" t="s">
        <v>186</v>
      </c>
      <c r="C197" s="5" t="s">
        <v>903</v>
      </c>
      <c r="D197" s="7" t="s">
        <v>294</v>
      </c>
      <c r="E197" s="30" t="s">
        <v>1186</v>
      </c>
      <c r="F197" s="43">
        <f>'A-I-1'!F205</f>
        <v>0</v>
      </c>
    </row>
    <row r="198" spans="1:6" x14ac:dyDescent="0.25">
      <c r="A198" s="5">
        <v>197</v>
      </c>
      <c r="B198" s="5" t="s">
        <v>186</v>
      </c>
      <c r="C198" s="5" t="s">
        <v>903</v>
      </c>
      <c r="D198" s="7" t="s">
        <v>295</v>
      </c>
      <c r="E198" s="30" t="s">
        <v>1187</v>
      </c>
      <c r="F198" s="43">
        <f>'A-I-1'!F206</f>
        <v>0</v>
      </c>
    </row>
    <row r="199" spans="1:6" x14ac:dyDescent="0.25">
      <c r="A199" s="5">
        <v>198</v>
      </c>
      <c r="B199" s="5" t="s">
        <v>186</v>
      </c>
      <c r="C199" s="5" t="s">
        <v>903</v>
      </c>
      <c r="D199" s="7" t="s">
        <v>296</v>
      </c>
      <c r="E199" s="30" t="s">
        <v>1188</v>
      </c>
      <c r="F199" s="43">
        <f>'A-I-1'!F207</f>
        <v>0</v>
      </c>
    </row>
    <row r="200" spans="1:6" x14ac:dyDescent="0.25">
      <c r="A200" s="5">
        <v>199</v>
      </c>
      <c r="B200" s="5" t="s">
        <v>186</v>
      </c>
      <c r="C200" s="5" t="s">
        <v>903</v>
      </c>
      <c r="D200" s="7" t="s">
        <v>297</v>
      </c>
      <c r="E200" s="31" t="s">
        <v>1502</v>
      </c>
      <c r="F200" s="43">
        <f>'A-I-1'!F208</f>
        <v>0</v>
      </c>
    </row>
    <row r="201" spans="1:6" x14ac:dyDescent="0.25">
      <c r="A201" s="5">
        <v>200</v>
      </c>
      <c r="B201" s="5" t="s">
        <v>186</v>
      </c>
      <c r="C201" s="5" t="s">
        <v>903</v>
      </c>
      <c r="D201" s="7" t="s">
        <v>298</v>
      </c>
      <c r="E201" s="30" t="s">
        <v>1189</v>
      </c>
      <c r="F201" s="43">
        <f>'A-I-1'!F209</f>
        <v>0</v>
      </c>
    </row>
    <row r="202" spans="1:6" x14ac:dyDescent="0.25">
      <c r="A202" s="5">
        <v>201</v>
      </c>
      <c r="B202" s="5" t="s">
        <v>186</v>
      </c>
      <c r="C202" s="5" t="s">
        <v>903</v>
      </c>
      <c r="D202" s="7" t="s">
        <v>299</v>
      </c>
      <c r="E202" s="30" t="s">
        <v>1190</v>
      </c>
      <c r="F202" s="43">
        <f>'A-I-1'!F210</f>
        <v>0</v>
      </c>
    </row>
    <row r="203" spans="1:6" x14ac:dyDescent="0.25">
      <c r="A203" s="5">
        <v>202</v>
      </c>
      <c r="B203" s="5" t="s">
        <v>186</v>
      </c>
      <c r="C203" s="5" t="s">
        <v>903</v>
      </c>
      <c r="D203" s="7" t="s">
        <v>300</v>
      </c>
      <c r="E203" s="30" t="s">
        <v>1191</v>
      </c>
      <c r="F203" s="43">
        <f>'A-I-1'!F211</f>
        <v>0</v>
      </c>
    </row>
    <row r="204" spans="1:6" x14ac:dyDescent="0.25">
      <c r="A204" s="5">
        <v>203</v>
      </c>
      <c r="B204" s="5" t="s">
        <v>186</v>
      </c>
      <c r="C204" s="5" t="s">
        <v>903</v>
      </c>
      <c r="D204" s="7" t="s">
        <v>301</v>
      </c>
      <c r="E204" s="30" t="s">
        <v>1192</v>
      </c>
      <c r="F204" s="43">
        <f>'A-I-1'!F212</f>
        <v>0</v>
      </c>
    </row>
    <row r="205" spans="1:6" x14ac:dyDescent="0.25">
      <c r="A205" s="5">
        <v>204</v>
      </c>
      <c r="B205" s="5" t="s">
        <v>186</v>
      </c>
      <c r="C205" s="5" t="s">
        <v>903</v>
      </c>
      <c r="D205" s="7" t="s">
        <v>302</v>
      </c>
      <c r="E205" s="30" t="s">
        <v>1193</v>
      </c>
      <c r="F205" s="43">
        <f>'A-I-1'!F213</f>
        <v>0</v>
      </c>
    </row>
    <row r="206" spans="1:6" x14ac:dyDescent="0.25">
      <c r="A206" s="5">
        <v>205</v>
      </c>
      <c r="B206" s="5" t="s">
        <v>186</v>
      </c>
      <c r="C206" s="5" t="s">
        <v>903</v>
      </c>
      <c r="D206" s="7" t="s">
        <v>303</v>
      </c>
      <c r="E206" s="30" t="s">
        <v>1194</v>
      </c>
      <c r="F206" s="43">
        <f>'A-I-1'!F214</f>
        <v>0</v>
      </c>
    </row>
    <row r="207" spans="1:6" x14ac:dyDescent="0.25">
      <c r="A207" s="5">
        <v>206</v>
      </c>
      <c r="B207" s="5" t="s">
        <v>186</v>
      </c>
      <c r="C207" s="5" t="s">
        <v>903</v>
      </c>
      <c r="D207" s="7" t="s">
        <v>304</v>
      </c>
      <c r="E207" s="30" t="s">
        <v>1195</v>
      </c>
      <c r="F207" s="43">
        <f>'A-I-1'!F215</f>
        <v>0</v>
      </c>
    </row>
    <row r="208" spans="1:6" x14ac:dyDescent="0.25">
      <c r="A208" s="5">
        <v>207</v>
      </c>
      <c r="B208" s="5" t="s">
        <v>186</v>
      </c>
      <c r="C208" s="5" t="s">
        <v>903</v>
      </c>
      <c r="D208" s="7" t="s">
        <v>305</v>
      </c>
      <c r="E208" s="30" t="s">
        <v>1196</v>
      </c>
      <c r="F208" s="43">
        <f>'A-I-1'!F216</f>
        <v>0</v>
      </c>
    </row>
    <row r="209" spans="1:6" x14ac:dyDescent="0.25">
      <c r="A209" s="5">
        <v>208</v>
      </c>
      <c r="B209" s="5" t="s">
        <v>186</v>
      </c>
      <c r="C209" s="5" t="s">
        <v>903</v>
      </c>
      <c r="D209" s="7" t="s">
        <v>306</v>
      </c>
      <c r="E209" s="30" t="s">
        <v>1197</v>
      </c>
      <c r="F209" s="43">
        <f>'A-I-1'!F217</f>
        <v>0</v>
      </c>
    </row>
    <row r="210" spans="1:6" x14ac:dyDescent="0.25">
      <c r="A210" s="5">
        <v>209</v>
      </c>
      <c r="B210" s="5" t="s">
        <v>186</v>
      </c>
      <c r="C210" s="5" t="s">
        <v>903</v>
      </c>
      <c r="D210" s="7" t="s">
        <v>307</v>
      </c>
      <c r="E210" s="30" t="s">
        <v>1198</v>
      </c>
      <c r="F210" s="43">
        <f>'A-I-1'!F218</f>
        <v>0</v>
      </c>
    </row>
    <row r="211" spans="1:6" x14ac:dyDescent="0.25">
      <c r="A211" s="5">
        <v>210</v>
      </c>
      <c r="B211" s="5" t="s">
        <v>186</v>
      </c>
      <c r="C211" s="5" t="s">
        <v>903</v>
      </c>
      <c r="D211" s="7" t="s">
        <v>308</v>
      </c>
      <c r="E211" s="30" t="s">
        <v>1199</v>
      </c>
      <c r="F211" s="43">
        <f>'A-I-1'!F219</f>
        <v>0</v>
      </c>
    </row>
    <row r="212" spans="1:6" x14ac:dyDescent="0.25">
      <c r="A212" s="5">
        <v>211</v>
      </c>
      <c r="B212" s="5" t="s">
        <v>14</v>
      </c>
      <c r="C212" s="5" t="s">
        <v>15</v>
      </c>
      <c r="D212" s="7" t="s">
        <v>1201</v>
      </c>
      <c r="E212" s="31" t="s">
        <v>1205</v>
      </c>
      <c r="F212" s="43">
        <f>'A-I-1'!F220</f>
        <v>0</v>
      </c>
    </row>
    <row r="213" spans="1:6" x14ac:dyDescent="0.25">
      <c r="A213" s="5">
        <v>212</v>
      </c>
      <c r="B213" s="5" t="s">
        <v>14</v>
      </c>
      <c r="C213" s="5" t="s">
        <v>54</v>
      </c>
      <c r="D213" s="7" t="s">
        <v>1202</v>
      </c>
      <c r="E213" s="31" t="s">
        <v>1204</v>
      </c>
      <c r="F213" s="43">
        <f>'A-I-1'!F221</f>
        <v>0</v>
      </c>
    </row>
    <row r="214" spans="1:6" x14ac:dyDescent="0.25">
      <c r="A214" s="5">
        <v>213</v>
      </c>
      <c r="B214" s="5" t="s">
        <v>14</v>
      </c>
      <c r="C214" s="5" t="s">
        <v>107</v>
      </c>
      <c r="D214" s="7" t="s">
        <v>1203</v>
      </c>
      <c r="E214" s="31" t="s">
        <v>1200</v>
      </c>
      <c r="F214" s="43">
        <f>'A-I-1'!F222</f>
        <v>0</v>
      </c>
    </row>
    <row r="215" spans="1:6" x14ac:dyDescent="0.25">
      <c r="A215" s="5">
        <v>214</v>
      </c>
      <c r="B215" s="5" t="s">
        <v>14</v>
      </c>
      <c r="C215" s="5" t="s">
        <v>107</v>
      </c>
      <c r="D215" s="7" t="s">
        <v>309</v>
      </c>
      <c r="E215" s="31" t="s">
        <v>1206</v>
      </c>
      <c r="F215" s="43">
        <f>'A-I-1'!F223</f>
        <v>0</v>
      </c>
    </row>
    <row r="216" spans="1:6" x14ac:dyDescent="0.25">
      <c r="A216" s="5">
        <v>215</v>
      </c>
      <c r="B216" s="5" t="s">
        <v>14</v>
      </c>
      <c r="C216" s="5" t="s">
        <v>107</v>
      </c>
      <c r="D216" s="7" t="s">
        <v>310</v>
      </c>
      <c r="E216" s="31" t="s">
        <v>211</v>
      </c>
      <c r="F216" s="43">
        <f>'A-I-1'!F224</f>
        <v>0</v>
      </c>
    </row>
    <row r="217" spans="1:6" x14ac:dyDescent="0.25">
      <c r="A217" s="5">
        <v>216</v>
      </c>
      <c r="B217" s="5" t="s">
        <v>14</v>
      </c>
      <c r="C217" s="5" t="s">
        <v>107</v>
      </c>
      <c r="D217" s="7" t="s">
        <v>311</v>
      </c>
      <c r="E217" s="31" t="s">
        <v>211</v>
      </c>
      <c r="F217" s="43">
        <f>'A-I-1'!F225</f>
        <v>0</v>
      </c>
    </row>
    <row r="218" spans="1:6" x14ac:dyDescent="0.25">
      <c r="A218" s="5">
        <v>217</v>
      </c>
      <c r="B218" s="5" t="s">
        <v>14</v>
      </c>
      <c r="C218" s="5" t="s">
        <v>107</v>
      </c>
      <c r="D218" s="7" t="s">
        <v>312</v>
      </c>
      <c r="E218" s="31" t="s">
        <v>211</v>
      </c>
      <c r="F218" s="43">
        <f>'A-I-1'!F226</f>
        <v>0</v>
      </c>
    </row>
    <row r="219" spans="1:6" x14ac:dyDescent="0.25">
      <c r="A219" s="5">
        <v>218</v>
      </c>
      <c r="B219" s="5" t="s">
        <v>313</v>
      </c>
      <c r="C219" s="5" t="s">
        <v>313</v>
      </c>
      <c r="D219" s="7" t="s">
        <v>314</v>
      </c>
      <c r="E219" s="31" t="s">
        <v>853</v>
      </c>
      <c r="F219" s="43">
        <f>'A-I-1'!F227</f>
        <v>0</v>
      </c>
    </row>
    <row r="220" spans="1:6" x14ac:dyDescent="0.25">
      <c r="A220" s="5">
        <v>219</v>
      </c>
      <c r="B220" s="5" t="s">
        <v>313</v>
      </c>
      <c r="C220" s="5" t="s">
        <v>313</v>
      </c>
      <c r="D220" s="7" t="s">
        <v>315</v>
      </c>
      <c r="E220" s="31" t="s">
        <v>854</v>
      </c>
      <c r="F220" s="43">
        <f>'A-I-1'!F228</f>
        <v>0</v>
      </c>
    </row>
    <row r="221" spans="1:6" x14ac:dyDescent="0.25">
      <c r="A221" s="5">
        <v>220</v>
      </c>
      <c r="B221" s="5" t="s">
        <v>313</v>
      </c>
      <c r="C221" s="5" t="s">
        <v>313</v>
      </c>
      <c r="D221" s="7" t="s">
        <v>316</v>
      </c>
      <c r="E221" s="31" t="s">
        <v>1478</v>
      </c>
      <c r="F221" s="43">
        <f>'A-I-1'!F229</f>
        <v>0</v>
      </c>
    </row>
    <row r="222" spans="1:6" x14ac:dyDescent="0.25">
      <c r="A222" s="5">
        <v>221</v>
      </c>
      <c r="B222" s="5" t="s">
        <v>313</v>
      </c>
      <c r="C222" s="5" t="s">
        <v>313</v>
      </c>
      <c r="D222" s="7" t="s">
        <v>317</v>
      </c>
      <c r="E222" s="31" t="s">
        <v>855</v>
      </c>
      <c r="F222" s="43">
        <f>'A-I-1'!F230</f>
        <v>0</v>
      </c>
    </row>
    <row r="223" spans="1:6" x14ac:dyDescent="0.25">
      <c r="A223" s="5">
        <v>222</v>
      </c>
      <c r="B223" s="5" t="s">
        <v>313</v>
      </c>
      <c r="C223" s="5" t="s">
        <v>313</v>
      </c>
      <c r="D223" s="7" t="s">
        <v>318</v>
      </c>
      <c r="E223" s="31" t="s">
        <v>1180</v>
      </c>
      <c r="F223" s="43">
        <f>'A-I-1'!F231</f>
        <v>0</v>
      </c>
    </row>
    <row r="224" spans="1:6" x14ac:dyDescent="0.25">
      <c r="A224" s="5">
        <v>223</v>
      </c>
      <c r="B224" s="5" t="s">
        <v>313</v>
      </c>
      <c r="C224" s="5" t="s">
        <v>313</v>
      </c>
      <c r="D224" s="7" t="s">
        <v>319</v>
      </c>
      <c r="E224" s="31" t="s">
        <v>856</v>
      </c>
      <c r="F224" s="43">
        <f>'A-I-1'!F232</f>
        <v>0</v>
      </c>
    </row>
    <row r="225" spans="1:6" x14ac:dyDescent="0.25">
      <c r="A225" s="5">
        <v>224</v>
      </c>
      <c r="B225" s="5" t="s">
        <v>313</v>
      </c>
      <c r="C225" s="5" t="s">
        <v>313</v>
      </c>
      <c r="D225" s="7" t="s">
        <v>320</v>
      </c>
      <c r="E225" s="31" t="s">
        <v>857</v>
      </c>
      <c r="F225" s="43">
        <f>'A-I-1'!F233</f>
        <v>0</v>
      </c>
    </row>
    <row r="226" spans="1:6" x14ac:dyDescent="0.25">
      <c r="A226" s="5">
        <v>225</v>
      </c>
      <c r="B226" s="5" t="s">
        <v>313</v>
      </c>
      <c r="C226" s="5" t="s">
        <v>313</v>
      </c>
      <c r="D226" s="7" t="s">
        <v>321</v>
      </c>
      <c r="E226" s="31" t="s">
        <v>858</v>
      </c>
      <c r="F226" s="43">
        <f>'A-I-1'!F234</f>
        <v>0</v>
      </c>
    </row>
    <row r="227" spans="1:6" x14ac:dyDescent="0.25">
      <c r="A227" s="5">
        <v>226</v>
      </c>
      <c r="B227" s="5" t="s">
        <v>313</v>
      </c>
      <c r="C227" s="5" t="s">
        <v>313</v>
      </c>
      <c r="D227" s="7" t="s">
        <v>322</v>
      </c>
      <c r="E227" s="31" t="s">
        <v>1479</v>
      </c>
      <c r="F227" s="43">
        <f>'A-I-1'!F235</f>
        <v>0</v>
      </c>
    </row>
    <row r="228" spans="1:6" x14ac:dyDescent="0.25">
      <c r="A228" s="5">
        <v>227</v>
      </c>
      <c r="B228" s="5" t="s">
        <v>313</v>
      </c>
      <c r="C228" s="5" t="s">
        <v>313</v>
      </c>
      <c r="D228" s="7" t="s">
        <v>323</v>
      </c>
      <c r="E228" s="31" t="s">
        <v>211</v>
      </c>
      <c r="F228" s="43">
        <f>'A-I-1'!F236</f>
        <v>0</v>
      </c>
    </row>
    <row r="229" spans="1:6" x14ac:dyDescent="0.25">
      <c r="A229" s="5">
        <v>228</v>
      </c>
      <c r="B229" s="5" t="s">
        <v>313</v>
      </c>
      <c r="C229" s="5" t="s">
        <v>313</v>
      </c>
      <c r="D229" s="7" t="s">
        <v>324</v>
      </c>
      <c r="E229" s="31" t="s">
        <v>211</v>
      </c>
      <c r="F229" s="43">
        <f>'A-I-1'!F237</f>
        <v>0</v>
      </c>
    </row>
    <row r="230" spans="1:6" x14ac:dyDescent="0.25">
      <c r="A230" s="5">
        <v>229</v>
      </c>
      <c r="B230" s="5" t="s">
        <v>313</v>
      </c>
      <c r="C230" s="5" t="s">
        <v>313</v>
      </c>
      <c r="D230" s="7" t="s">
        <v>325</v>
      </c>
      <c r="E230" s="31" t="s">
        <v>211</v>
      </c>
      <c r="F230" s="43">
        <f>'A-I-1'!F238</f>
        <v>0</v>
      </c>
    </row>
    <row r="231" spans="1:6" x14ac:dyDescent="0.25">
      <c r="A231" s="5">
        <v>230</v>
      </c>
      <c r="B231" s="5" t="s">
        <v>313</v>
      </c>
      <c r="C231" s="5" t="s">
        <v>313</v>
      </c>
      <c r="D231" s="7" t="s">
        <v>326</v>
      </c>
      <c r="E231" s="31" t="s">
        <v>211</v>
      </c>
      <c r="F231" s="43">
        <f>'A-I-1'!F239</f>
        <v>0</v>
      </c>
    </row>
    <row r="232" spans="1:6" x14ac:dyDescent="0.25">
      <c r="A232" s="5">
        <v>231</v>
      </c>
      <c r="B232" s="5" t="s">
        <v>327</v>
      </c>
      <c r="C232" s="5" t="s">
        <v>15</v>
      </c>
      <c r="D232" s="7" t="s">
        <v>1179</v>
      </c>
      <c r="E232" s="32" t="s">
        <v>1480</v>
      </c>
      <c r="F232" s="43">
        <f>'A-I-1'!F240</f>
        <v>0</v>
      </c>
    </row>
    <row r="233" spans="1:6" x14ac:dyDescent="0.25">
      <c r="A233" s="5">
        <v>232</v>
      </c>
      <c r="B233" s="5" t="s">
        <v>327</v>
      </c>
      <c r="C233" s="5" t="s">
        <v>15</v>
      </c>
      <c r="D233" s="7" t="s">
        <v>1176</v>
      </c>
      <c r="E233" s="32" t="s">
        <v>1481</v>
      </c>
      <c r="F233" s="43">
        <f>'A-I-1'!F241</f>
        <v>0</v>
      </c>
    </row>
    <row r="234" spans="1:6" x14ac:dyDescent="0.25">
      <c r="A234" s="5">
        <v>233</v>
      </c>
      <c r="B234" s="5" t="s">
        <v>327</v>
      </c>
      <c r="C234" s="5" t="s">
        <v>15</v>
      </c>
      <c r="D234" s="7" t="s">
        <v>1177</v>
      </c>
      <c r="E234" s="32" t="s">
        <v>1482</v>
      </c>
      <c r="F234" s="43">
        <f>'A-I-1'!F242</f>
        <v>0</v>
      </c>
    </row>
    <row r="235" spans="1:6" x14ac:dyDescent="0.25">
      <c r="A235" s="5">
        <v>234</v>
      </c>
      <c r="B235" s="5" t="s">
        <v>327</v>
      </c>
      <c r="C235" s="5" t="s">
        <v>15</v>
      </c>
      <c r="D235" s="7" t="s">
        <v>911</v>
      </c>
      <c r="E235" s="32" t="s">
        <v>1483</v>
      </c>
      <c r="F235" s="43">
        <f>'A-I-1'!F243</f>
        <v>0</v>
      </c>
    </row>
    <row r="236" spans="1:6" x14ac:dyDescent="0.25">
      <c r="A236" s="5">
        <v>235</v>
      </c>
      <c r="B236" s="5" t="s">
        <v>327</v>
      </c>
      <c r="C236" s="5" t="s">
        <v>15</v>
      </c>
      <c r="D236" s="7" t="s">
        <v>852</v>
      </c>
      <c r="E236" s="32" t="s">
        <v>1484</v>
      </c>
      <c r="F236" s="43">
        <f>'A-I-1'!F244</f>
        <v>0</v>
      </c>
    </row>
    <row r="237" spans="1:6" x14ac:dyDescent="0.25">
      <c r="A237" s="5">
        <v>236</v>
      </c>
      <c r="B237" s="5" t="s">
        <v>327</v>
      </c>
      <c r="C237" s="5" t="s">
        <v>15</v>
      </c>
      <c r="D237" s="7" t="s">
        <v>1178</v>
      </c>
      <c r="E237" s="32" t="s">
        <v>1485</v>
      </c>
      <c r="F237" s="43">
        <f>'A-I-1'!F245</f>
        <v>0</v>
      </c>
    </row>
    <row r="238" spans="1:6" x14ac:dyDescent="0.25">
      <c r="A238" s="5">
        <v>237</v>
      </c>
      <c r="B238" s="5" t="s">
        <v>327</v>
      </c>
      <c r="C238" s="5" t="s">
        <v>54</v>
      </c>
      <c r="D238" s="7" t="s">
        <v>1230</v>
      </c>
      <c r="E238" s="32" t="s">
        <v>1209</v>
      </c>
      <c r="F238" s="43">
        <f>'A-I-1'!F246</f>
        <v>0</v>
      </c>
    </row>
    <row r="239" spans="1:6" x14ac:dyDescent="0.25">
      <c r="A239" s="5">
        <v>238</v>
      </c>
      <c r="B239" s="5" t="s">
        <v>327</v>
      </c>
      <c r="C239" s="5" t="s">
        <v>54</v>
      </c>
      <c r="D239" s="7" t="s">
        <v>1231</v>
      </c>
      <c r="E239" s="32" t="s">
        <v>1210</v>
      </c>
      <c r="F239" s="43">
        <f>'A-I-1'!F247</f>
        <v>0</v>
      </c>
    </row>
    <row r="240" spans="1:6" x14ac:dyDescent="0.25">
      <c r="A240" s="5">
        <v>239</v>
      </c>
      <c r="B240" s="5" t="s">
        <v>327</v>
      </c>
      <c r="C240" s="5" t="s">
        <v>54</v>
      </c>
      <c r="D240" s="7" t="s">
        <v>1232</v>
      </c>
      <c r="E240" s="32" t="s">
        <v>1211</v>
      </c>
      <c r="F240" s="43">
        <f>'A-I-1'!F248</f>
        <v>0</v>
      </c>
    </row>
    <row r="241" spans="1:6" x14ac:dyDescent="0.25">
      <c r="A241" s="5">
        <v>240</v>
      </c>
      <c r="B241" s="5" t="s">
        <v>327</v>
      </c>
      <c r="C241" s="5" t="s">
        <v>54</v>
      </c>
      <c r="D241" s="7" t="s">
        <v>1233</v>
      </c>
      <c r="E241" s="32" t="s">
        <v>1212</v>
      </c>
      <c r="F241" s="43">
        <f>'A-I-1'!F249</f>
        <v>0</v>
      </c>
    </row>
    <row r="242" spans="1:6" x14ac:dyDescent="0.25">
      <c r="A242" s="5">
        <v>241</v>
      </c>
      <c r="B242" s="5" t="s">
        <v>327</v>
      </c>
      <c r="C242" s="5" t="s">
        <v>54</v>
      </c>
      <c r="D242" s="7" t="s">
        <v>1234</v>
      </c>
      <c r="E242" s="32" t="s">
        <v>1208</v>
      </c>
      <c r="F242" s="43">
        <f>'A-I-1'!F250</f>
        <v>0</v>
      </c>
    </row>
    <row r="243" spans="1:6" x14ac:dyDescent="0.25">
      <c r="A243" s="5">
        <v>242</v>
      </c>
      <c r="B243" s="5" t="s">
        <v>327</v>
      </c>
      <c r="C243" s="5" t="s">
        <v>54</v>
      </c>
      <c r="D243" s="7" t="s">
        <v>1235</v>
      </c>
      <c r="E243" s="32" t="s">
        <v>1213</v>
      </c>
      <c r="F243" s="43">
        <f>'A-I-1'!F251</f>
        <v>0</v>
      </c>
    </row>
    <row r="244" spans="1:6" x14ac:dyDescent="0.25">
      <c r="A244" s="5">
        <v>243</v>
      </c>
      <c r="B244" s="5" t="s">
        <v>327</v>
      </c>
      <c r="C244" s="5" t="s">
        <v>107</v>
      </c>
      <c r="D244" s="7" t="s">
        <v>1236</v>
      </c>
      <c r="E244" s="32" t="s">
        <v>1207</v>
      </c>
      <c r="F244" s="43">
        <f>'A-I-1'!F252</f>
        <v>0</v>
      </c>
    </row>
    <row r="245" spans="1:6" x14ac:dyDescent="0.25">
      <c r="A245" s="5">
        <v>244</v>
      </c>
      <c r="B245" s="5" t="s">
        <v>327</v>
      </c>
      <c r="C245" s="5" t="s">
        <v>107</v>
      </c>
      <c r="D245" s="7" t="s">
        <v>1237</v>
      </c>
      <c r="E245" s="32" t="s">
        <v>1214</v>
      </c>
      <c r="F245" s="43">
        <f>'A-I-1'!F253</f>
        <v>0</v>
      </c>
    </row>
    <row r="246" spans="1:6" x14ac:dyDescent="0.25">
      <c r="A246" s="5">
        <v>245</v>
      </c>
      <c r="B246" s="5" t="s">
        <v>327</v>
      </c>
      <c r="C246" s="5" t="s">
        <v>107</v>
      </c>
      <c r="D246" s="7" t="s">
        <v>1238</v>
      </c>
      <c r="E246" s="32" t="s">
        <v>1215</v>
      </c>
      <c r="F246" s="43">
        <f>'A-I-1'!F254</f>
        <v>0</v>
      </c>
    </row>
    <row r="247" spans="1:6" x14ac:dyDescent="0.25">
      <c r="A247" s="5">
        <v>246</v>
      </c>
      <c r="B247" s="5" t="s">
        <v>327</v>
      </c>
      <c r="C247" s="5" t="s">
        <v>107</v>
      </c>
      <c r="D247" s="7" t="s">
        <v>1239</v>
      </c>
      <c r="E247" s="32" t="s">
        <v>1216</v>
      </c>
      <c r="F247" s="43">
        <f>'A-I-1'!F255</f>
        <v>0</v>
      </c>
    </row>
    <row r="248" spans="1:6" x14ac:dyDescent="0.25">
      <c r="A248" s="5">
        <v>247</v>
      </c>
      <c r="B248" s="5" t="s">
        <v>327</v>
      </c>
      <c r="C248" s="5" t="s">
        <v>107</v>
      </c>
      <c r="D248" s="7" t="s">
        <v>1240</v>
      </c>
      <c r="E248" s="32" t="s">
        <v>1217</v>
      </c>
      <c r="F248" s="43">
        <f>'A-I-1'!F256</f>
        <v>0</v>
      </c>
    </row>
    <row r="249" spans="1:6" x14ac:dyDescent="0.25">
      <c r="A249" s="5">
        <v>248</v>
      </c>
      <c r="B249" s="5" t="s">
        <v>327</v>
      </c>
      <c r="C249" s="5" t="s">
        <v>107</v>
      </c>
      <c r="D249" s="7" t="s">
        <v>1241</v>
      </c>
      <c r="E249" s="32" t="s">
        <v>1218</v>
      </c>
      <c r="F249" s="43">
        <f>'A-I-1'!F257</f>
        <v>0</v>
      </c>
    </row>
    <row r="250" spans="1:6" x14ac:dyDescent="0.25">
      <c r="A250" s="5">
        <v>249</v>
      </c>
      <c r="B250" s="5" t="s">
        <v>904</v>
      </c>
      <c r="C250" s="5" t="s">
        <v>1185</v>
      </c>
      <c r="D250" s="7" t="s">
        <v>328</v>
      </c>
      <c r="E250" s="33" t="s">
        <v>900</v>
      </c>
      <c r="F250" s="43">
        <f>'A-I-1'!F258</f>
        <v>0</v>
      </c>
    </row>
    <row r="251" spans="1:6" x14ac:dyDescent="0.25">
      <c r="A251" s="5">
        <v>250</v>
      </c>
      <c r="B251" s="5" t="s">
        <v>904</v>
      </c>
      <c r="C251" s="5" t="s">
        <v>1185</v>
      </c>
      <c r="D251" s="8" t="s">
        <v>329</v>
      </c>
      <c r="E251" s="34" t="s">
        <v>901</v>
      </c>
      <c r="F251" s="43">
        <f>'A-I-1'!F259</f>
        <v>0</v>
      </c>
    </row>
    <row r="252" spans="1:6" x14ac:dyDescent="0.25">
      <c r="A252" s="5">
        <v>251</v>
      </c>
      <c r="B252" s="5" t="s">
        <v>850</v>
      </c>
      <c r="C252" s="5" t="s">
        <v>355</v>
      </c>
      <c r="D252" s="7" t="s">
        <v>342</v>
      </c>
      <c r="E252" s="33" t="s">
        <v>1486</v>
      </c>
      <c r="F252" s="43">
        <f>'A-I-1'!F260</f>
        <v>0</v>
      </c>
    </row>
    <row r="253" spans="1:6" x14ac:dyDescent="0.25">
      <c r="A253" s="5">
        <v>252</v>
      </c>
      <c r="B253" s="5" t="s">
        <v>850</v>
      </c>
      <c r="C253" s="5" t="s">
        <v>355</v>
      </c>
      <c r="D253" s="7" t="s">
        <v>343</v>
      </c>
      <c r="E253" s="33" t="s">
        <v>1487</v>
      </c>
      <c r="F253" s="43">
        <f>'A-I-1'!F261</f>
        <v>0</v>
      </c>
    </row>
    <row r="254" spans="1:6" x14ac:dyDescent="0.25">
      <c r="A254" s="5">
        <v>253</v>
      </c>
      <c r="B254" s="5" t="s">
        <v>850</v>
      </c>
      <c r="C254" s="5" t="s">
        <v>355</v>
      </c>
      <c r="D254" s="7" t="s">
        <v>344</v>
      </c>
      <c r="E254" s="33" t="s">
        <v>1488</v>
      </c>
      <c r="F254" s="43">
        <f>'A-I-1'!F262</f>
        <v>0</v>
      </c>
    </row>
    <row r="255" spans="1:6" x14ac:dyDescent="0.25">
      <c r="A255" s="5">
        <v>254</v>
      </c>
      <c r="B255" s="5" t="s">
        <v>850</v>
      </c>
      <c r="C255" s="5" t="s">
        <v>355</v>
      </c>
      <c r="D255" s="7" t="s">
        <v>345</v>
      </c>
      <c r="E255" s="33" t="s">
        <v>1489</v>
      </c>
      <c r="F255" s="43">
        <f>'A-I-1'!F263</f>
        <v>0</v>
      </c>
    </row>
    <row r="256" spans="1:6" x14ac:dyDescent="0.25">
      <c r="A256" s="5">
        <v>255</v>
      </c>
      <c r="B256" s="5" t="s">
        <v>850</v>
      </c>
      <c r="C256" s="5" t="s">
        <v>355</v>
      </c>
      <c r="D256" s="7" t="s">
        <v>1454</v>
      </c>
      <c r="E256" s="33" t="s">
        <v>351</v>
      </c>
      <c r="F256" s="43">
        <f>'A-I-1'!F264</f>
        <v>0</v>
      </c>
    </row>
    <row r="257" spans="1:6" x14ac:dyDescent="0.25">
      <c r="A257" s="5">
        <v>256</v>
      </c>
      <c r="B257" s="5" t="s">
        <v>850</v>
      </c>
      <c r="C257" s="5" t="s">
        <v>355</v>
      </c>
      <c r="D257" s="7" t="s">
        <v>1455</v>
      </c>
      <c r="E257" s="33" t="s">
        <v>352</v>
      </c>
      <c r="F257" s="43">
        <f>'A-I-1'!F265</f>
        <v>0</v>
      </c>
    </row>
    <row r="258" spans="1:6" x14ac:dyDescent="0.25">
      <c r="A258" s="5">
        <v>257</v>
      </c>
      <c r="B258" s="5" t="s">
        <v>850</v>
      </c>
      <c r="C258" s="5" t="s">
        <v>355</v>
      </c>
      <c r="D258" s="7" t="s">
        <v>1456</v>
      </c>
      <c r="E258" s="33" t="s">
        <v>353</v>
      </c>
      <c r="F258" s="43">
        <f>'A-I-1'!F266</f>
        <v>0</v>
      </c>
    </row>
    <row r="259" spans="1:6" x14ac:dyDescent="0.25">
      <c r="A259" s="5">
        <v>258</v>
      </c>
      <c r="B259" s="5" t="s">
        <v>850</v>
      </c>
      <c r="C259" s="5" t="s">
        <v>355</v>
      </c>
      <c r="D259" s="7" t="s">
        <v>1457</v>
      </c>
      <c r="E259" s="33" t="s">
        <v>354</v>
      </c>
      <c r="F259" s="43">
        <f>'A-I-1'!F267</f>
        <v>0</v>
      </c>
    </row>
    <row r="260" spans="1:6" x14ac:dyDescent="0.25">
      <c r="A260" s="5">
        <v>259</v>
      </c>
      <c r="B260" s="5" t="s">
        <v>850</v>
      </c>
      <c r="C260" s="5" t="s">
        <v>355</v>
      </c>
      <c r="D260" s="7" t="s">
        <v>1458</v>
      </c>
      <c r="E260" s="33" t="s">
        <v>1474</v>
      </c>
      <c r="F260" s="43">
        <f>'A-I-1'!F268</f>
        <v>0</v>
      </c>
    </row>
    <row r="261" spans="1:6" x14ac:dyDescent="0.25">
      <c r="A261" s="5">
        <v>260</v>
      </c>
      <c r="B261" s="5" t="s">
        <v>850</v>
      </c>
      <c r="C261" s="5" t="s">
        <v>356</v>
      </c>
      <c r="D261" s="7" t="s">
        <v>357</v>
      </c>
      <c r="E261" s="33" t="s">
        <v>361</v>
      </c>
      <c r="F261" s="43">
        <f>'A-I-1'!F269</f>
        <v>0</v>
      </c>
    </row>
    <row r="262" spans="1:6" x14ac:dyDescent="0.25">
      <c r="A262" s="5">
        <v>261</v>
      </c>
      <c r="B262" s="5" t="s">
        <v>850</v>
      </c>
      <c r="C262" s="5" t="s">
        <v>356</v>
      </c>
      <c r="D262" s="7" t="s">
        <v>358</v>
      </c>
      <c r="E262" s="33" t="s">
        <v>362</v>
      </c>
      <c r="F262" s="43">
        <f>'A-I-1'!F270</f>
        <v>0</v>
      </c>
    </row>
    <row r="263" spans="1:6" x14ac:dyDescent="0.25">
      <c r="A263" s="5">
        <v>262</v>
      </c>
      <c r="B263" s="5" t="s">
        <v>850</v>
      </c>
      <c r="C263" s="5" t="s">
        <v>356</v>
      </c>
      <c r="D263" s="7" t="s">
        <v>359</v>
      </c>
      <c r="E263" s="33" t="s">
        <v>363</v>
      </c>
      <c r="F263" s="43">
        <f>'A-I-1'!F271</f>
        <v>0</v>
      </c>
    </row>
    <row r="264" spans="1:6" x14ac:dyDescent="0.25">
      <c r="A264" s="5">
        <v>263</v>
      </c>
      <c r="B264" s="5" t="s">
        <v>850</v>
      </c>
      <c r="C264" s="5" t="s">
        <v>356</v>
      </c>
      <c r="D264" s="7" t="s">
        <v>360</v>
      </c>
      <c r="E264" s="33" t="s">
        <v>364</v>
      </c>
      <c r="F264" s="43">
        <f>'A-I-1'!F272</f>
        <v>0</v>
      </c>
    </row>
    <row r="265" spans="1:6" x14ac:dyDescent="0.25">
      <c r="A265" s="5">
        <v>264</v>
      </c>
      <c r="B265" s="5" t="s">
        <v>850</v>
      </c>
      <c r="C265" s="5" t="s">
        <v>905</v>
      </c>
      <c r="D265" s="7" t="s">
        <v>365</v>
      </c>
      <c r="E265" s="33" t="s">
        <v>369</v>
      </c>
      <c r="F265" s="43">
        <f>'A-I-1'!F273</f>
        <v>0</v>
      </c>
    </row>
    <row r="266" spans="1:6" x14ac:dyDescent="0.25">
      <c r="A266" s="5">
        <v>265</v>
      </c>
      <c r="B266" s="5" t="s">
        <v>850</v>
      </c>
      <c r="C266" s="5" t="s">
        <v>905</v>
      </c>
      <c r="D266" s="7" t="s">
        <v>366</v>
      </c>
      <c r="E266" s="33" t="s">
        <v>370</v>
      </c>
      <c r="F266" s="43">
        <f>'A-I-1'!F274</f>
        <v>0</v>
      </c>
    </row>
    <row r="267" spans="1:6" x14ac:dyDescent="0.25">
      <c r="A267" s="5">
        <v>266</v>
      </c>
      <c r="B267" s="5" t="s">
        <v>850</v>
      </c>
      <c r="C267" s="5" t="s">
        <v>905</v>
      </c>
      <c r="D267" s="7" t="s">
        <v>367</v>
      </c>
      <c r="E267" s="33" t="s">
        <v>371</v>
      </c>
      <c r="F267" s="43">
        <f>'A-I-1'!F275</f>
        <v>0</v>
      </c>
    </row>
    <row r="268" spans="1:6" x14ac:dyDescent="0.25">
      <c r="A268" s="5">
        <v>267</v>
      </c>
      <c r="B268" s="5" t="s">
        <v>850</v>
      </c>
      <c r="C268" s="5" t="s">
        <v>905</v>
      </c>
      <c r="D268" s="7" t="s">
        <v>368</v>
      </c>
      <c r="E268" s="33" t="s">
        <v>372</v>
      </c>
      <c r="F268" s="43">
        <f>'A-I-1'!F276</f>
        <v>0</v>
      </c>
    </row>
    <row r="269" spans="1:6" x14ac:dyDescent="0.25">
      <c r="A269" s="5">
        <v>268</v>
      </c>
      <c r="B269" s="5" t="s">
        <v>850</v>
      </c>
      <c r="C269" s="5" t="s">
        <v>355</v>
      </c>
      <c r="D269" s="7" t="s">
        <v>1459</v>
      </c>
      <c r="E269" s="33" t="s">
        <v>1465</v>
      </c>
      <c r="F269" s="43">
        <f>'A-I-1'!F277</f>
        <v>0</v>
      </c>
    </row>
    <row r="270" spans="1:6" x14ac:dyDescent="0.25">
      <c r="A270" s="5">
        <v>269</v>
      </c>
      <c r="B270" s="5" t="s">
        <v>850</v>
      </c>
      <c r="C270" s="5" t="s">
        <v>355</v>
      </c>
      <c r="D270" s="7" t="s">
        <v>1460</v>
      </c>
      <c r="E270" s="33" t="s">
        <v>1467</v>
      </c>
      <c r="F270" s="43">
        <f>'A-I-1'!F278</f>
        <v>0</v>
      </c>
    </row>
    <row r="271" spans="1:6" x14ac:dyDescent="0.25">
      <c r="A271" s="5">
        <v>270</v>
      </c>
      <c r="B271" s="5" t="s">
        <v>850</v>
      </c>
      <c r="C271" s="5" t="s">
        <v>355</v>
      </c>
      <c r="D271" s="7" t="s">
        <v>1461</v>
      </c>
      <c r="E271" s="33" t="s">
        <v>1468</v>
      </c>
      <c r="F271" s="43">
        <f>'A-I-1'!F279</f>
        <v>0</v>
      </c>
    </row>
    <row r="272" spans="1:6" x14ac:dyDescent="0.25">
      <c r="A272" s="5">
        <v>271</v>
      </c>
      <c r="B272" s="5" t="s">
        <v>850</v>
      </c>
      <c r="C272" s="5" t="s">
        <v>355</v>
      </c>
      <c r="D272" s="7" t="s">
        <v>1462</v>
      </c>
      <c r="E272" s="33" t="s">
        <v>1466</v>
      </c>
      <c r="F272" s="43">
        <f>'A-I-1'!F280</f>
        <v>0</v>
      </c>
    </row>
    <row r="273" spans="1:6" x14ac:dyDescent="0.25">
      <c r="A273" s="5">
        <v>272</v>
      </c>
      <c r="B273" s="5" t="s">
        <v>850</v>
      </c>
      <c r="C273" s="5" t="s">
        <v>355</v>
      </c>
      <c r="D273" s="7" t="s">
        <v>1463</v>
      </c>
      <c r="E273" s="33" t="s">
        <v>1469</v>
      </c>
      <c r="F273" s="43">
        <f>'A-I-1'!F281</f>
        <v>0</v>
      </c>
    </row>
    <row r="274" spans="1:6" x14ac:dyDescent="0.25">
      <c r="A274" s="5">
        <v>273</v>
      </c>
      <c r="B274" s="5" t="s">
        <v>850</v>
      </c>
      <c r="C274" s="5" t="s">
        <v>355</v>
      </c>
      <c r="D274" s="7" t="s">
        <v>1464</v>
      </c>
      <c r="E274" s="33" t="s">
        <v>1470</v>
      </c>
      <c r="F274" s="43">
        <f>'A-I-1'!F282</f>
        <v>0</v>
      </c>
    </row>
    <row r="275" spans="1:6" x14ac:dyDescent="0.25">
      <c r="A275" s="5">
        <v>274</v>
      </c>
      <c r="B275" s="5" t="s">
        <v>229</v>
      </c>
      <c r="C275" s="5" t="s">
        <v>1183</v>
      </c>
      <c r="D275" s="7" t="s">
        <v>231</v>
      </c>
      <c r="E275" s="33" t="s">
        <v>1490</v>
      </c>
      <c r="F275" s="43">
        <f>'A-I-1'!F283</f>
        <v>0</v>
      </c>
    </row>
    <row r="276" spans="1:6" x14ac:dyDescent="0.25">
      <c r="A276" s="5">
        <v>275</v>
      </c>
      <c r="B276" s="5" t="s">
        <v>229</v>
      </c>
      <c r="C276" s="5" t="s">
        <v>1183</v>
      </c>
      <c r="D276" s="7" t="s">
        <v>230</v>
      </c>
      <c r="E276" s="33" t="s">
        <v>1491</v>
      </c>
      <c r="F276" s="43">
        <f>'A-I-1'!F284</f>
        <v>0</v>
      </c>
    </row>
    <row r="277" spans="1:6" x14ac:dyDescent="0.25">
      <c r="A277" s="5"/>
      <c r="B277" s="5"/>
      <c r="C277" s="5"/>
      <c r="D277" s="7" t="s">
        <v>1506</v>
      </c>
      <c r="E277" s="33" t="s">
        <v>1507</v>
      </c>
      <c r="F277" s="5">
        <f>'A-I-1'!F285</f>
        <v>0</v>
      </c>
    </row>
    <row r="278" spans="1:6" x14ac:dyDescent="0.25">
      <c r="A278" s="5">
        <v>276</v>
      </c>
      <c r="B278" s="5" t="s">
        <v>912</v>
      </c>
      <c r="C278" s="5" t="s">
        <v>1184</v>
      </c>
      <c r="D278" s="7" t="s">
        <v>1317</v>
      </c>
      <c r="E278" s="33" t="s">
        <v>1492</v>
      </c>
      <c r="F278" s="43">
        <f>'A-I-1'!F286</f>
        <v>0</v>
      </c>
    </row>
    <row r="279" spans="1:6" x14ac:dyDescent="0.25">
      <c r="A279" s="5">
        <v>277</v>
      </c>
      <c r="B279" s="5" t="s">
        <v>912</v>
      </c>
      <c r="C279" s="5" t="s">
        <v>1184</v>
      </c>
      <c r="D279" s="7" t="s">
        <v>1327</v>
      </c>
      <c r="E279" s="33" t="s">
        <v>1503</v>
      </c>
      <c r="F279" s="43">
        <f>'A-I-1'!F287</f>
        <v>0</v>
      </c>
    </row>
    <row r="280" spans="1:6" x14ac:dyDescent="0.25">
      <c r="A280" s="5">
        <v>278</v>
      </c>
      <c r="B280" s="5" t="s">
        <v>912</v>
      </c>
      <c r="C280" s="5" t="s">
        <v>1184</v>
      </c>
      <c r="D280" s="7" t="s">
        <v>1229</v>
      </c>
      <c r="E280" s="33" t="s">
        <v>1493</v>
      </c>
      <c r="F280" s="43">
        <f>'A-I-1'!F288</f>
        <v>0</v>
      </c>
    </row>
    <row r="281" spans="1:6" x14ac:dyDescent="0.25">
      <c r="A281" s="5">
        <v>279</v>
      </c>
      <c r="B281" s="5" t="s">
        <v>912</v>
      </c>
      <c r="C281" s="5" t="s">
        <v>1184</v>
      </c>
      <c r="D281" s="7" t="s">
        <v>1316</v>
      </c>
      <c r="E281" s="33" t="s">
        <v>1494</v>
      </c>
      <c r="F281" s="43">
        <f>'A-I-1'!F289</f>
        <v>0</v>
      </c>
    </row>
    <row r="282" spans="1:6" x14ac:dyDescent="0.25">
      <c r="A282" s="44"/>
      <c r="B282" s="44" t="s">
        <v>1471</v>
      </c>
      <c r="C282" s="44" t="s">
        <v>1472</v>
      </c>
      <c r="D282" s="8" t="s">
        <v>1473</v>
      </c>
      <c r="E282" s="34" t="s">
        <v>1495</v>
      </c>
      <c r="F282" s="44">
        <f>'A-I-1'!F290</f>
        <v>0</v>
      </c>
    </row>
    <row r="283" spans="1:6" x14ac:dyDescent="0.25">
      <c r="A283" s="44"/>
      <c r="B283" s="44"/>
      <c r="C283" s="44"/>
      <c r="D283" s="8" t="s">
        <v>1504</v>
      </c>
      <c r="E283" s="34" t="s">
        <v>1497</v>
      </c>
      <c r="F283" s="44">
        <f>'A-I-1'!F291</f>
        <v>0</v>
      </c>
    </row>
    <row r="284" spans="1:6" x14ac:dyDescent="0.25">
      <c r="A284" s="44"/>
      <c r="B284" s="44"/>
      <c r="C284" s="44"/>
      <c r="D284" s="8" t="s">
        <v>1505</v>
      </c>
      <c r="E284" s="34" t="s">
        <v>1498</v>
      </c>
      <c r="F284" s="44">
        <f>'A-I-1'!F292</f>
        <v>0</v>
      </c>
    </row>
  </sheetData>
  <phoneticPr fontId="4" type="noConversion"/>
  <hyperlinks>
    <hyperlink ref="D2" location="'A-I-1'!A1" display="A-I-1" xr:uid="{52EE369B-F2AE-4884-A909-EFD13A9E3E09}"/>
  </hyperlinks>
  <pageMargins left="0.7" right="0.7" top="0.75" bottom="0.75" header="0.3" footer="0.3"/>
  <pageSetup paperSize="9" scale="53" orientation="portrait" horizontalDpi="0" verticalDpi="0" r:id="rId1"/>
  <rowBreaks count="1" manualBreakCount="1">
    <brk id="94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08EB-4F40-4563-817D-26F6ADDDDD67}">
  <sheetPr codeName="Hoja4"/>
  <dimension ref="A1:G266"/>
  <sheetViews>
    <sheetView tabSelected="1" topLeftCell="A225" zoomScale="124" workbookViewId="0">
      <selection activeCell="F141" sqref="F141"/>
    </sheetView>
  </sheetViews>
  <sheetFormatPr baseColWidth="10" defaultRowHeight="15" x14ac:dyDescent="0.25"/>
  <cols>
    <col min="1" max="1" width="6.5703125" style="9" customWidth="1"/>
    <col min="2" max="2" width="16.28515625" style="9" customWidth="1"/>
    <col min="3" max="3" width="75.28515625" style="9" customWidth="1"/>
    <col min="4" max="4" width="21.140625" style="23" customWidth="1"/>
    <col min="5" max="5" width="19.7109375" style="23" customWidth="1"/>
    <col min="6" max="6" width="15.85546875" style="9" customWidth="1"/>
    <col min="7" max="7" width="23.85546875" style="9" customWidth="1"/>
  </cols>
  <sheetData>
    <row r="1" spans="1:7" x14ac:dyDescent="0.25">
      <c r="A1" s="11" t="s">
        <v>10</v>
      </c>
      <c r="B1" s="24" t="s">
        <v>1511</v>
      </c>
      <c r="C1" s="24" t="s">
        <v>907</v>
      </c>
      <c r="D1" s="12" t="s">
        <v>2</v>
      </c>
      <c r="E1" s="12" t="s">
        <v>444</v>
      </c>
      <c r="F1" s="38" t="s">
        <v>1337</v>
      </c>
      <c r="G1"/>
    </row>
    <row r="2" spans="1:7" x14ac:dyDescent="0.25">
      <c r="A2" s="13">
        <v>1</v>
      </c>
      <c r="B2" s="10" t="s">
        <v>445</v>
      </c>
      <c r="C2" t="s">
        <v>914</v>
      </c>
      <c r="D2" s="22" t="s">
        <v>3</v>
      </c>
      <c r="E2" s="25" t="s">
        <v>446</v>
      </c>
      <c r="F2" s="40">
        <v>200</v>
      </c>
      <c r="G2"/>
    </row>
    <row r="3" spans="1:7" x14ac:dyDescent="0.25">
      <c r="A3" s="13">
        <v>2</v>
      </c>
      <c r="B3" s="10" t="s">
        <v>447</v>
      </c>
      <c r="C3" t="s">
        <v>915</v>
      </c>
      <c r="D3" s="22" t="s">
        <v>3</v>
      </c>
      <c r="E3" s="25" t="s">
        <v>448</v>
      </c>
      <c r="F3" s="40">
        <v>200</v>
      </c>
      <c r="G3"/>
    </row>
    <row r="4" spans="1:7" x14ac:dyDescent="0.25">
      <c r="A4" s="13">
        <v>3</v>
      </c>
      <c r="B4" s="10" t="s">
        <v>449</v>
      </c>
      <c r="C4" t="s">
        <v>916</v>
      </c>
      <c r="D4" s="22" t="s">
        <v>3</v>
      </c>
      <c r="E4" s="25" t="s">
        <v>375</v>
      </c>
      <c r="F4" s="40">
        <v>200</v>
      </c>
      <c r="G4"/>
    </row>
    <row r="5" spans="1:7" x14ac:dyDescent="0.25">
      <c r="A5" s="13">
        <v>4</v>
      </c>
      <c r="B5" s="10" t="s">
        <v>450</v>
      </c>
      <c r="C5" t="s">
        <v>917</v>
      </c>
      <c r="D5" s="22" t="s">
        <v>3</v>
      </c>
      <c r="E5" s="25" t="s">
        <v>451</v>
      </c>
      <c r="F5" s="40">
        <v>15.6</v>
      </c>
      <c r="G5"/>
    </row>
    <row r="6" spans="1:7" x14ac:dyDescent="0.25">
      <c r="A6" s="13">
        <v>5</v>
      </c>
      <c r="B6" s="10" t="s">
        <v>452</v>
      </c>
      <c r="C6" t="s">
        <v>919</v>
      </c>
      <c r="D6" s="22" t="s">
        <v>3</v>
      </c>
      <c r="E6" s="25" t="s">
        <v>453</v>
      </c>
      <c r="F6" s="40">
        <v>260</v>
      </c>
      <c r="G6"/>
    </row>
    <row r="7" spans="1:7" x14ac:dyDescent="0.25">
      <c r="A7" s="13">
        <v>6</v>
      </c>
      <c r="B7" s="10" t="s">
        <v>454</v>
      </c>
      <c r="C7" t="s">
        <v>918</v>
      </c>
      <c r="D7" s="22" t="s">
        <v>3</v>
      </c>
      <c r="E7" s="25" t="s">
        <v>455</v>
      </c>
      <c r="F7" s="40">
        <v>278.88</v>
      </c>
      <c r="G7"/>
    </row>
    <row r="8" spans="1:7" x14ac:dyDescent="0.25">
      <c r="A8" s="13">
        <v>7</v>
      </c>
      <c r="B8" s="35" t="s">
        <v>456</v>
      </c>
      <c r="C8" t="s">
        <v>920</v>
      </c>
      <c r="D8" s="22" t="s">
        <v>3</v>
      </c>
      <c r="E8" s="25" t="s">
        <v>457</v>
      </c>
      <c r="F8" s="40">
        <v>186.4</v>
      </c>
      <c r="G8"/>
    </row>
    <row r="9" spans="1:7" x14ac:dyDescent="0.25">
      <c r="A9" s="13">
        <v>8</v>
      </c>
      <c r="B9" s="10" t="s">
        <v>458</v>
      </c>
      <c r="C9" t="s">
        <v>921</v>
      </c>
      <c r="D9" s="22" t="s">
        <v>3</v>
      </c>
      <c r="E9" s="25" t="s">
        <v>459</v>
      </c>
      <c r="F9" s="40">
        <v>140</v>
      </c>
      <c r="G9"/>
    </row>
    <row r="10" spans="1:7" x14ac:dyDescent="0.25">
      <c r="A10" s="13">
        <v>9</v>
      </c>
      <c r="B10" s="36" t="s">
        <v>923</v>
      </c>
      <c r="C10" t="s">
        <v>922</v>
      </c>
      <c r="D10" s="22" t="s">
        <v>3</v>
      </c>
      <c r="E10" s="26" t="s">
        <v>928</v>
      </c>
      <c r="F10" s="40">
        <v>35</v>
      </c>
      <c r="G10"/>
    </row>
    <row r="11" spans="1:7" x14ac:dyDescent="0.25">
      <c r="A11" s="13">
        <v>10</v>
      </c>
      <c r="B11" s="36" t="s">
        <v>924</v>
      </c>
      <c r="C11" t="s">
        <v>926</v>
      </c>
      <c r="D11" s="22" t="s">
        <v>3</v>
      </c>
      <c r="E11" s="26" t="s">
        <v>377</v>
      </c>
      <c r="F11" s="40">
        <v>35</v>
      </c>
      <c r="G11"/>
    </row>
    <row r="12" spans="1:7" x14ac:dyDescent="0.25">
      <c r="A12" s="13">
        <v>11</v>
      </c>
      <c r="B12" s="36" t="s">
        <v>925</v>
      </c>
      <c r="C12" t="s">
        <v>927</v>
      </c>
      <c r="D12" s="22" t="s">
        <v>3</v>
      </c>
      <c r="E12" s="26" t="s">
        <v>929</v>
      </c>
      <c r="F12" s="40">
        <v>43.25</v>
      </c>
      <c r="G12"/>
    </row>
    <row r="13" spans="1:7" x14ac:dyDescent="0.25">
      <c r="A13" s="13">
        <v>12</v>
      </c>
      <c r="B13" s="10" t="s">
        <v>460</v>
      </c>
      <c r="C13" t="s">
        <v>930</v>
      </c>
      <c r="D13" s="22" t="s">
        <v>3</v>
      </c>
      <c r="E13" s="25" t="s">
        <v>461</v>
      </c>
      <c r="F13" s="40">
        <v>5</v>
      </c>
      <c r="G13"/>
    </row>
    <row r="14" spans="1:7" x14ac:dyDescent="0.25">
      <c r="A14" s="13">
        <v>13</v>
      </c>
      <c r="B14" s="10" t="s">
        <v>462</v>
      </c>
      <c r="C14" t="s">
        <v>931</v>
      </c>
      <c r="D14" s="22" t="s">
        <v>3</v>
      </c>
      <c r="E14" s="25" t="s">
        <v>463</v>
      </c>
      <c r="F14" s="40">
        <v>5</v>
      </c>
      <c r="G14"/>
    </row>
    <row r="15" spans="1:7" x14ac:dyDescent="0.25">
      <c r="A15" s="13">
        <v>14</v>
      </c>
      <c r="B15" s="10" t="s">
        <v>464</v>
      </c>
      <c r="C15" t="s">
        <v>931</v>
      </c>
      <c r="D15" s="22" t="s">
        <v>3</v>
      </c>
      <c r="E15" s="25" t="s">
        <v>465</v>
      </c>
      <c r="F15" s="40">
        <v>5</v>
      </c>
      <c r="G15"/>
    </row>
    <row r="16" spans="1:7" x14ac:dyDescent="0.25">
      <c r="A16" s="13">
        <v>15</v>
      </c>
      <c r="B16" s="10" t="s">
        <v>466</v>
      </c>
      <c r="C16" t="s">
        <v>935</v>
      </c>
      <c r="D16" s="22" t="s">
        <v>3</v>
      </c>
      <c r="E16" s="25" t="s">
        <v>467</v>
      </c>
      <c r="F16" s="40">
        <v>5</v>
      </c>
      <c r="G16"/>
    </row>
    <row r="17" spans="1:7" x14ac:dyDescent="0.25">
      <c r="A17" s="13">
        <v>16</v>
      </c>
      <c r="B17" s="10" t="s">
        <v>466</v>
      </c>
      <c r="C17" t="s">
        <v>935</v>
      </c>
      <c r="D17" s="22" t="s">
        <v>3</v>
      </c>
      <c r="E17" s="25" t="s">
        <v>468</v>
      </c>
      <c r="F17" s="40">
        <v>5</v>
      </c>
      <c r="G17"/>
    </row>
    <row r="18" spans="1:7" x14ac:dyDescent="0.25">
      <c r="A18" s="13">
        <v>17</v>
      </c>
      <c r="B18" s="10" t="s">
        <v>469</v>
      </c>
      <c r="C18" t="s">
        <v>934</v>
      </c>
      <c r="D18" s="22" t="s">
        <v>3</v>
      </c>
      <c r="E18" s="25" t="s">
        <v>470</v>
      </c>
      <c r="F18" s="40">
        <v>5</v>
      </c>
      <c r="G18"/>
    </row>
    <row r="19" spans="1:7" x14ac:dyDescent="0.25">
      <c r="A19" s="13">
        <v>18</v>
      </c>
      <c r="B19" s="10" t="s">
        <v>471</v>
      </c>
      <c r="C19" t="s">
        <v>932</v>
      </c>
      <c r="D19" s="22" t="s">
        <v>3</v>
      </c>
      <c r="E19" s="25" t="s">
        <v>472</v>
      </c>
      <c r="F19" s="40">
        <v>5</v>
      </c>
      <c r="G19"/>
    </row>
    <row r="20" spans="1:7" x14ac:dyDescent="0.25">
      <c r="A20" s="13">
        <v>19</v>
      </c>
      <c r="B20" s="10" t="s">
        <v>473</v>
      </c>
      <c r="C20" t="s">
        <v>933</v>
      </c>
      <c r="D20" s="22" t="s">
        <v>3</v>
      </c>
      <c r="E20" s="25" t="s">
        <v>474</v>
      </c>
      <c r="F20" s="40">
        <v>5</v>
      </c>
      <c r="G20"/>
    </row>
    <row r="21" spans="1:7" x14ac:dyDescent="0.25">
      <c r="A21" s="13">
        <v>20</v>
      </c>
      <c r="B21" s="10" t="s">
        <v>475</v>
      </c>
      <c r="C21" t="s">
        <v>1175</v>
      </c>
      <c r="D21" s="22" t="s">
        <v>1227</v>
      </c>
      <c r="E21" s="25" t="s">
        <v>476</v>
      </c>
      <c r="F21" s="40">
        <v>2.17</v>
      </c>
      <c r="G21"/>
    </row>
    <row r="22" spans="1:7" x14ac:dyDescent="0.25">
      <c r="A22" s="13">
        <v>21</v>
      </c>
      <c r="B22" s="10" t="s">
        <v>477</v>
      </c>
      <c r="C22" t="s">
        <v>950</v>
      </c>
      <c r="D22" s="22" t="s">
        <v>3</v>
      </c>
      <c r="E22" s="25" t="s">
        <v>478</v>
      </c>
      <c r="F22" s="40">
        <v>10.37</v>
      </c>
      <c r="G22"/>
    </row>
    <row r="23" spans="1:7" x14ac:dyDescent="0.25">
      <c r="A23" s="13">
        <v>22</v>
      </c>
      <c r="B23" s="10" t="s">
        <v>479</v>
      </c>
      <c r="C23" t="s">
        <v>1107</v>
      </c>
      <c r="D23" s="22" t="s">
        <v>3</v>
      </c>
      <c r="E23" s="25" t="s">
        <v>480</v>
      </c>
      <c r="F23" s="40">
        <v>450</v>
      </c>
      <c r="G23"/>
    </row>
    <row r="24" spans="1:7" x14ac:dyDescent="0.25">
      <c r="A24" s="13">
        <v>23</v>
      </c>
      <c r="B24" s="10" t="s">
        <v>481</v>
      </c>
      <c r="C24" t="s">
        <v>936</v>
      </c>
      <c r="D24" s="22" t="s">
        <v>3</v>
      </c>
      <c r="E24" s="25" t="s">
        <v>482</v>
      </c>
      <c r="F24" s="40">
        <v>64.08</v>
      </c>
      <c r="G24"/>
    </row>
    <row r="25" spans="1:7" x14ac:dyDescent="0.25">
      <c r="A25" s="13">
        <v>24</v>
      </c>
      <c r="B25" s="10" t="s">
        <v>483</v>
      </c>
      <c r="C25" t="s">
        <v>937</v>
      </c>
      <c r="D25" s="22" t="s">
        <v>3</v>
      </c>
      <c r="E25" s="25" t="s">
        <v>484</v>
      </c>
      <c r="F25" s="40">
        <v>285.60000000000002</v>
      </c>
      <c r="G25"/>
    </row>
    <row r="26" spans="1:7" x14ac:dyDescent="0.25">
      <c r="A26" s="13">
        <v>25</v>
      </c>
      <c r="B26" s="10" t="s">
        <v>485</v>
      </c>
      <c r="C26" t="s">
        <v>938</v>
      </c>
      <c r="D26" s="22" t="s">
        <v>3</v>
      </c>
      <c r="E26" s="25" t="s">
        <v>486</v>
      </c>
      <c r="F26" s="40">
        <v>256</v>
      </c>
      <c r="G26"/>
    </row>
    <row r="27" spans="1:7" x14ac:dyDescent="0.25">
      <c r="A27" s="13">
        <v>26</v>
      </c>
      <c r="B27" s="36" t="s">
        <v>939</v>
      </c>
      <c r="C27" t="s">
        <v>943</v>
      </c>
      <c r="D27" s="22" t="s">
        <v>3</v>
      </c>
      <c r="E27" s="25" t="s">
        <v>487</v>
      </c>
      <c r="F27" s="40">
        <v>5</v>
      </c>
      <c r="G27"/>
    </row>
    <row r="28" spans="1:7" x14ac:dyDescent="0.25">
      <c r="A28" s="13">
        <v>27</v>
      </c>
      <c r="B28" s="36" t="s">
        <v>940</v>
      </c>
      <c r="C28" t="s">
        <v>944</v>
      </c>
      <c r="D28" s="22" t="s">
        <v>3</v>
      </c>
      <c r="E28" s="25" t="s">
        <v>487</v>
      </c>
      <c r="F28" s="40">
        <v>5</v>
      </c>
      <c r="G28"/>
    </row>
    <row r="29" spans="1:7" x14ac:dyDescent="0.25">
      <c r="A29" s="13">
        <v>28</v>
      </c>
      <c r="B29" s="36" t="s">
        <v>941</v>
      </c>
      <c r="C29" t="s">
        <v>945</v>
      </c>
      <c r="D29" s="22" t="s">
        <v>3</v>
      </c>
      <c r="E29" s="25" t="s">
        <v>487</v>
      </c>
      <c r="F29" s="40">
        <v>5</v>
      </c>
      <c r="G29"/>
    </row>
    <row r="30" spans="1:7" x14ac:dyDescent="0.25">
      <c r="A30" s="13">
        <v>29</v>
      </c>
      <c r="B30" s="36" t="s">
        <v>942</v>
      </c>
      <c r="C30" t="s">
        <v>946</v>
      </c>
      <c r="D30" s="22" t="s">
        <v>3</v>
      </c>
      <c r="E30" s="25" t="s">
        <v>487</v>
      </c>
      <c r="F30" s="40">
        <v>5</v>
      </c>
      <c r="G30"/>
    </row>
    <row r="31" spans="1:7" x14ac:dyDescent="0.25">
      <c r="A31" s="13">
        <v>30</v>
      </c>
      <c r="B31" s="36" t="s">
        <v>947</v>
      </c>
      <c r="C31" t="s">
        <v>1328</v>
      </c>
      <c r="D31" s="22" t="s">
        <v>3</v>
      </c>
      <c r="E31" s="28" t="s">
        <v>1110</v>
      </c>
      <c r="F31" s="40">
        <v>258.06</v>
      </c>
      <c r="G31"/>
    </row>
    <row r="32" spans="1:7" x14ac:dyDescent="0.25">
      <c r="A32" s="13">
        <v>31</v>
      </c>
      <c r="B32" s="36" t="s">
        <v>948</v>
      </c>
      <c r="C32" t="s">
        <v>1330</v>
      </c>
      <c r="D32" s="22" t="s">
        <v>3</v>
      </c>
      <c r="E32" s="28" t="s">
        <v>1110</v>
      </c>
      <c r="F32" s="40">
        <v>300</v>
      </c>
      <c r="G32"/>
    </row>
    <row r="33" spans="1:7" x14ac:dyDescent="0.25">
      <c r="A33" s="13">
        <v>32</v>
      </c>
      <c r="B33" s="36" t="s">
        <v>949</v>
      </c>
      <c r="C33" t="s">
        <v>1329</v>
      </c>
      <c r="D33" s="22" t="s">
        <v>3</v>
      </c>
      <c r="E33" s="28" t="s">
        <v>1110</v>
      </c>
      <c r="F33" s="40">
        <v>5</v>
      </c>
      <c r="G33"/>
    </row>
    <row r="34" spans="1:7" x14ac:dyDescent="0.25">
      <c r="A34" s="13">
        <v>33</v>
      </c>
      <c r="B34" s="10" t="s">
        <v>488</v>
      </c>
      <c r="C34" t="s">
        <v>1108</v>
      </c>
      <c r="D34" s="22" t="s">
        <v>3</v>
      </c>
      <c r="E34" s="25" t="s">
        <v>1109</v>
      </c>
      <c r="F34" s="40">
        <v>5</v>
      </c>
      <c r="G34"/>
    </row>
    <row r="35" spans="1:7" x14ac:dyDescent="0.25">
      <c r="A35" s="13">
        <v>34</v>
      </c>
      <c r="B35" s="10" t="s">
        <v>489</v>
      </c>
      <c r="C35" t="s">
        <v>951</v>
      </c>
      <c r="D35" s="22" t="s">
        <v>3</v>
      </c>
      <c r="E35" s="25" t="s">
        <v>490</v>
      </c>
      <c r="F35" s="40">
        <v>5</v>
      </c>
      <c r="G35"/>
    </row>
    <row r="36" spans="1:7" x14ac:dyDescent="0.25">
      <c r="A36" s="13">
        <v>35</v>
      </c>
      <c r="B36" s="10" t="s">
        <v>491</v>
      </c>
      <c r="C36" t="s">
        <v>952</v>
      </c>
      <c r="D36" s="22" t="s">
        <v>3</v>
      </c>
      <c r="E36" s="25" t="s">
        <v>492</v>
      </c>
      <c r="F36" s="40">
        <v>5</v>
      </c>
      <c r="G36"/>
    </row>
    <row r="37" spans="1:7" x14ac:dyDescent="0.25">
      <c r="A37" s="13">
        <v>36</v>
      </c>
      <c r="B37" s="10" t="s">
        <v>493</v>
      </c>
      <c r="C37" t="s">
        <v>953</v>
      </c>
      <c r="D37" s="22" t="s">
        <v>3</v>
      </c>
      <c r="E37" s="25" t="s">
        <v>494</v>
      </c>
      <c r="F37" s="40">
        <v>5</v>
      </c>
      <c r="G37"/>
    </row>
    <row r="38" spans="1:7" x14ac:dyDescent="0.25">
      <c r="A38" s="13">
        <v>37</v>
      </c>
      <c r="B38" s="10" t="s">
        <v>495</v>
      </c>
      <c r="C38" t="s">
        <v>954</v>
      </c>
      <c r="D38" s="22" t="s">
        <v>3</v>
      </c>
      <c r="E38" s="25" t="s">
        <v>496</v>
      </c>
      <c r="F38" s="40">
        <v>5</v>
      </c>
      <c r="G38"/>
    </row>
    <row r="39" spans="1:7" x14ac:dyDescent="0.25">
      <c r="A39" s="13">
        <v>38</v>
      </c>
      <c r="B39" s="10" t="s">
        <v>497</v>
      </c>
      <c r="C39" t="s">
        <v>955</v>
      </c>
      <c r="D39" s="22" t="s">
        <v>3</v>
      </c>
      <c r="E39" s="25" t="s">
        <v>498</v>
      </c>
      <c r="F39" s="40">
        <v>5</v>
      </c>
      <c r="G39"/>
    </row>
    <row r="40" spans="1:7" x14ac:dyDescent="0.25">
      <c r="A40" s="13">
        <v>39</v>
      </c>
      <c r="B40" s="10" t="s">
        <v>499</v>
      </c>
      <c r="C40" t="s">
        <v>956</v>
      </c>
      <c r="D40" s="22" t="s">
        <v>3</v>
      </c>
      <c r="E40" s="25" t="s">
        <v>500</v>
      </c>
      <c r="F40" s="40">
        <v>5</v>
      </c>
      <c r="G40"/>
    </row>
    <row r="41" spans="1:7" x14ac:dyDescent="0.25">
      <c r="A41" s="13">
        <v>40</v>
      </c>
      <c r="B41" s="10" t="s">
        <v>501</v>
      </c>
      <c r="C41" t="s">
        <v>1334</v>
      </c>
      <c r="D41" s="22" t="s">
        <v>1227</v>
      </c>
      <c r="E41" s="25" t="s">
        <v>476</v>
      </c>
      <c r="F41" s="40">
        <v>3.11</v>
      </c>
      <c r="G41"/>
    </row>
    <row r="42" spans="1:7" x14ac:dyDescent="0.25">
      <c r="A42" s="13">
        <v>41</v>
      </c>
      <c r="B42" s="10" t="s">
        <v>502</v>
      </c>
      <c r="C42" t="s">
        <v>1335</v>
      </c>
      <c r="D42" s="22" t="s">
        <v>1227</v>
      </c>
      <c r="E42" s="25" t="s">
        <v>476</v>
      </c>
      <c r="F42" s="40">
        <v>5</v>
      </c>
      <c r="G42"/>
    </row>
    <row r="43" spans="1:7" x14ac:dyDescent="0.25">
      <c r="A43" s="13">
        <v>42</v>
      </c>
      <c r="B43" s="10" t="s">
        <v>503</v>
      </c>
      <c r="C43" t="s">
        <v>1336</v>
      </c>
      <c r="D43" s="22" t="s">
        <v>1227</v>
      </c>
      <c r="E43" s="25" t="s">
        <v>476</v>
      </c>
      <c r="F43" s="40">
        <v>5</v>
      </c>
      <c r="G43"/>
    </row>
    <row r="44" spans="1:7" x14ac:dyDescent="0.25">
      <c r="A44" s="13">
        <v>43</v>
      </c>
      <c r="B44" s="10" t="s">
        <v>504</v>
      </c>
      <c r="C44" t="s">
        <v>1112</v>
      </c>
      <c r="D44" s="22" t="s">
        <v>1227</v>
      </c>
      <c r="E44" s="25" t="s">
        <v>505</v>
      </c>
      <c r="F44" s="40">
        <v>9.6300000000000008</v>
      </c>
      <c r="G44"/>
    </row>
    <row r="45" spans="1:7" x14ac:dyDescent="0.25">
      <c r="A45" s="13">
        <v>44</v>
      </c>
      <c r="B45" s="10" t="s">
        <v>506</v>
      </c>
      <c r="C45" t="s">
        <v>1113</v>
      </c>
      <c r="D45" s="22" t="s">
        <v>1227</v>
      </c>
      <c r="E45" s="25" t="s">
        <v>505</v>
      </c>
      <c r="F45" s="40">
        <v>55</v>
      </c>
      <c r="G45"/>
    </row>
    <row r="46" spans="1:7" x14ac:dyDescent="0.25">
      <c r="A46" s="13">
        <v>45</v>
      </c>
      <c r="B46" s="10" t="s">
        <v>507</v>
      </c>
      <c r="C46" t="s">
        <v>1111</v>
      </c>
      <c r="D46" s="22" t="s">
        <v>1227</v>
      </c>
      <c r="E46" s="25" t="s">
        <v>505</v>
      </c>
      <c r="F46" s="40">
        <v>81</v>
      </c>
      <c r="G46"/>
    </row>
    <row r="47" spans="1:7" x14ac:dyDescent="0.25">
      <c r="A47" s="13">
        <v>46</v>
      </c>
      <c r="B47" s="10" t="s">
        <v>508</v>
      </c>
      <c r="C47" t="s">
        <v>1114</v>
      </c>
      <c r="D47" s="22" t="s">
        <v>1227</v>
      </c>
      <c r="E47" s="25" t="s">
        <v>505</v>
      </c>
      <c r="F47" s="40">
        <v>6.11</v>
      </c>
      <c r="G47"/>
    </row>
    <row r="48" spans="1:7" x14ac:dyDescent="0.25">
      <c r="A48" s="13">
        <v>47</v>
      </c>
      <c r="B48" s="10" t="s">
        <v>509</v>
      </c>
      <c r="C48" t="s">
        <v>1115</v>
      </c>
      <c r="D48" s="22" t="s">
        <v>1227</v>
      </c>
      <c r="E48" s="25" t="s">
        <v>510</v>
      </c>
      <c r="F48" s="40">
        <v>5.68</v>
      </c>
      <c r="G48"/>
    </row>
    <row r="49" spans="1:7" x14ac:dyDescent="0.25">
      <c r="A49" s="13">
        <v>48</v>
      </c>
      <c r="B49" s="10" t="s">
        <v>511</v>
      </c>
      <c r="C49" t="s">
        <v>1116</v>
      </c>
      <c r="D49" s="22" t="s">
        <v>1227</v>
      </c>
      <c r="E49" s="25" t="s">
        <v>510</v>
      </c>
      <c r="F49" s="40">
        <v>9.07</v>
      </c>
      <c r="G49"/>
    </row>
    <row r="50" spans="1:7" x14ac:dyDescent="0.25">
      <c r="A50" s="13">
        <v>49</v>
      </c>
      <c r="B50" s="10" t="s">
        <v>512</v>
      </c>
      <c r="C50" t="s">
        <v>1117</v>
      </c>
      <c r="D50" s="22" t="s">
        <v>1227</v>
      </c>
      <c r="E50" s="25" t="s">
        <v>510</v>
      </c>
      <c r="F50" s="40">
        <v>5</v>
      </c>
      <c r="G50"/>
    </row>
    <row r="51" spans="1:7" x14ac:dyDescent="0.25">
      <c r="A51" s="13">
        <v>50</v>
      </c>
      <c r="B51" s="10" t="s">
        <v>513</v>
      </c>
      <c r="C51" t="s">
        <v>1338</v>
      </c>
      <c r="D51" s="22" t="s">
        <v>1227</v>
      </c>
      <c r="E51" s="25" t="s">
        <v>510</v>
      </c>
      <c r="F51" s="40">
        <v>5</v>
      </c>
      <c r="G51"/>
    </row>
    <row r="52" spans="1:7" x14ac:dyDescent="0.25">
      <c r="A52" s="13">
        <v>51</v>
      </c>
      <c r="B52" s="10" t="s">
        <v>514</v>
      </c>
      <c r="C52" t="s">
        <v>1118</v>
      </c>
      <c r="D52" s="22" t="s">
        <v>1227</v>
      </c>
      <c r="E52" s="25" t="s">
        <v>510</v>
      </c>
      <c r="F52" s="40">
        <v>5</v>
      </c>
      <c r="G52"/>
    </row>
    <row r="53" spans="1:7" x14ac:dyDescent="0.25">
      <c r="A53" s="13">
        <v>52</v>
      </c>
      <c r="B53" s="10" t="s">
        <v>515</v>
      </c>
      <c r="C53" t="s">
        <v>1119</v>
      </c>
      <c r="D53" s="22" t="s">
        <v>1227</v>
      </c>
      <c r="E53" s="25" t="s">
        <v>510</v>
      </c>
      <c r="F53" s="40">
        <v>5</v>
      </c>
      <c r="G53"/>
    </row>
    <row r="54" spans="1:7" x14ac:dyDescent="0.25">
      <c r="A54" s="13">
        <v>53</v>
      </c>
      <c r="B54" s="10" t="s">
        <v>516</v>
      </c>
      <c r="C54" t="s">
        <v>1120</v>
      </c>
      <c r="D54" s="22" t="s">
        <v>1227</v>
      </c>
      <c r="E54" s="25" t="s">
        <v>510</v>
      </c>
      <c r="F54" s="40">
        <v>5</v>
      </c>
      <c r="G54"/>
    </row>
    <row r="55" spans="1:7" x14ac:dyDescent="0.25">
      <c r="A55" s="13">
        <v>54</v>
      </c>
      <c r="B55" s="10" t="s">
        <v>517</v>
      </c>
      <c r="C55" t="s">
        <v>1121</v>
      </c>
      <c r="D55" s="22" t="s">
        <v>1227</v>
      </c>
      <c r="E55" s="25" t="s">
        <v>510</v>
      </c>
      <c r="F55" s="40">
        <v>5</v>
      </c>
      <c r="G55"/>
    </row>
    <row r="56" spans="1:7" x14ac:dyDescent="0.25">
      <c r="A56" s="13">
        <v>55</v>
      </c>
      <c r="B56" s="10" t="s">
        <v>518</v>
      </c>
      <c r="C56" t="s">
        <v>1122</v>
      </c>
      <c r="D56" s="22" t="s">
        <v>1227</v>
      </c>
      <c r="E56" s="25" t="s">
        <v>1123</v>
      </c>
      <c r="F56" s="40">
        <v>5</v>
      </c>
      <c r="G56"/>
    </row>
    <row r="57" spans="1:7" x14ac:dyDescent="0.25">
      <c r="A57" s="13">
        <v>56</v>
      </c>
      <c r="B57" s="10" t="s">
        <v>519</v>
      </c>
      <c r="C57" t="s">
        <v>1124</v>
      </c>
      <c r="D57" s="22" t="s">
        <v>1227</v>
      </c>
      <c r="E57" s="25" t="s">
        <v>520</v>
      </c>
      <c r="F57" s="40">
        <v>15</v>
      </c>
      <c r="G57"/>
    </row>
    <row r="58" spans="1:7" x14ac:dyDescent="0.25">
      <c r="A58" s="13">
        <v>57</v>
      </c>
      <c r="B58" s="10" t="s">
        <v>521</v>
      </c>
      <c r="C58" t="s">
        <v>1125</v>
      </c>
      <c r="D58" s="22" t="s">
        <v>1227</v>
      </c>
      <c r="E58" s="25" t="s">
        <v>476</v>
      </c>
      <c r="F58" s="40">
        <v>14.01</v>
      </c>
      <c r="G58"/>
    </row>
    <row r="59" spans="1:7" x14ac:dyDescent="0.25">
      <c r="A59" s="13">
        <v>58</v>
      </c>
      <c r="B59" s="10" t="s">
        <v>522</v>
      </c>
      <c r="C59" t="s">
        <v>1126</v>
      </c>
      <c r="D59" s="22" t="s">
        <v>1227</v>
      </c>
      <c r="E59" s="25" t="s">
        <v>476</v>
      </c>
      <c r="F59" s="40">
        <v>5</v>
      </c>
      <c r="G59"/>
    </row>
    <row r="60" spans="1:7" x14ac:dyDescent="0.25">
      <c r="A60" s="13">
        <v>59</v>
      </c>
      <c r="B60" s="10" t="s">
        <v>523</v>
      </c>
      <c r="C60" t="s">
        <v>1127</v>
      </c>
      <c r="D60" s="22" t="s">
        <v>1227</v>
      </c>
      <c r="E60" s="25" t="s">
        <v>476</v>
      </c>
      <c r="F60" s="40">
        <v>5</v>
      </c>
      <c r="G60"/>
    </row>
    <row r="61" spans="1:7" x14ac:dyDescent="0.25">
      <c r="A61" s="13">
        <v>60</v>
      </c>
      <c r="B61" s="10" t="s">
        <v>524</v>
      </c>
      <c r="C61" t="s">
        <v>1128</v>
      </c>
      <c r="D61" s="22" t="s">
        <v>1227</v>
      </c>
      <c r="E61" s="25" t="s">
        <v>476</v>
      </c>
      <c r="F61" s="40">
        <v>5</v>
      </c>
      <c r="G61"/>
    </row>
    <row r="62" spans="1:7" x14ac:dyDescent="0.25">
      <c r="A62" s="13">
        <v>61</v>
      </c>
      <c r="B62" s="10" t="s">
        <v>525</v>
      </c>
      <c r="C62" t="s">
        <v>1129</v>
      </c>
      <c r="D62" s="22" t="s">
        <v>1227</v>
      </c>
      <c r="E62" s="25" t="s">
        <v>476</v>
      </c>
      <c r="F62" s="40">
        <v>19.46</v>
      </c>
      <c r="G62"/>
    </row>
    <row r="63" spans="1:7" x14ac:dyDescent="0.25">
      <c r="A63" s="13">
        <v>62</v>
      </c>
      <c r="B63" s="36" t="s">
        <v>1339</v>
      </c>
      <c r="C63" t="s">
        <v>1133</v>
      </c>
      <c r="D63" s="22" t="s">
        <v>3</v>
      </c>
      <c r="E63" s="27" t="s">
        <v>1110</v>
      </c>
      <c r="F63" s="40">
        <v>660.1</v>
      </c>
      <c r="G63"/>
    </row>
    <row r="64" spans="1:7" x14ac:dyDescent="0.25">
      <c r="A64" s="13">
        <v>63</v>
      </c>
      <c r="B64" s="36" t="s">
        <v>1340</v>
      </c>
      <c r="C64" t="s">
        <v>1134</v>
      </c>
      <c r="D64" s="22" t="s">
        <v>3</v>
      </c>
      <c r="E64" s="27" t="s">
        <v>1110</v>
      </c>
      <c r="F64" s="40">
        <v>5</v>
      </c>
      <c r="G64"/>
    </row>
    <row r="65" spans="1:7" x14ac:dyDescent="0.25">
      <c r="A65" s="13">
        <v>64</v>
      </c>
      <c r="B65" s="36" t="s">
        <v>1341</v>
      </c>
      <c r="C65" t="s">
        <v>1135</v>
      </c>
      <c r="D65" s="22" t="s">
        <v>3</v>
      </c>
      <c r="E65" s="27" t="s">
        <v>1110</v>
      </c>
      <c r="F65" s="40">
        <v>5</v>
      </c>
      <c r="G65"/>
    </row>
    <row r="66" spans="1:7" x14ac:dyDescent="0.25">
      <c r="A66" s="13">
        <v>65</v>
      </c>
      <c r="B66" s="10" t="s">
        <v>526</v>
      </c>
      <c r="C66" t="s">
        <v>1136</v>
      </c>
      <c r="D66" s="22" t="s">
        <v>3</v>
      </c>
      <c r="E66" s="26" t="s">
        <v>387</v>
      </c>
      <c r="F66" s="40">
        <v>165.75</v>
      </c>
      <c r="G66"/>
    </row>
    <row r="67" spans="1:7" x14ac:dyDescent="0.25">
      <c r="A67" s="13">
        <v>66</v>
      </c>
      <c r="B67" s="10" t="s">
        <v>527</v>
      </c>
      <c r="C67" t="s">
        <v>1130</v>
      </c>
      <c r="D67" s="22" t="s">
        <v>3</v>
      </c>
      <c r="E67" s="25" t="s">
        <v>476</v>
      </c>
      <c r="F67" s="40">
        <v>5</v>
      </c>
      <c r="G67"/>
    </row>
    <row r="68" spans="1:7" x14ac:dyDescent="0.25">
      <c r="A68" s="13">
        <v>67</v>
      </c>
      <c r="B68" s="10" t="s">
        <v>528</v>
      </c>
      <c r="C68" t="s">
        <v>1131</v>
      </c>
      <c r="D68" s="22" t="s">
        <v>3</v>
      </c>
      <c r="E68" s="25" t="s">
        <v>476</v>
      </c>
      <c r="F68" s="40">
        <v>16.010000000000002</v>
      </c>
      <c r="G68"/>
    </row>
    <row r="69" spans="1:7" x14ac:dyDescent="0.25">
      <c r="A69" s="13">
        <v>68</v>
      </c>
      <c r="B69" s="10" t="s">
        <v>529</v>
      </c>
      <c r="C69" t="s">
        <v>1132</v>
      </c>
      <c r="D69" s="22" t="s">
        <v>3</v>
      </c>
      <c r="E69" s="25" t="s">
        <v>476</v>
      </c>
      <c r="F69" s="40">
        <v>16.010000000000002</v>
      </c>
      <c r="G69"/>
    </row>
    <row r="70" spans="1:7" x14ac:dyDescent="0.25">
      <c r="A70" s="13">
        <v>69</v>
      </c>
      <c r="B70" s="10" t="s">
        <v>530</v>
      </c>
      <c r="C70" t="s">
        <v>957</v>
      </c>
      <c r="D70" s="22" t="s">
        <v>3</v>
      </c>
      <c r="E70" s="27" t="s">
        <v>1110</v>
      </c>
      <c r="F70" s="40">
        <v>5</v>
      </c>
      <c r="G70"/>
    </row>
    <row r="71" spans="1:7" x14ac:dyDescent="0.25">
      <c r="A71" s="13">
        <v>70</v>
      </c>
      <c r="B71" s="10" t="s">
        <v>531</v>
      </c>
      <c r="C71" t="s">
        <v>958</v>
      </c>
      <c r="D71" s="22" t="s">
        <v>3</v>
      </c>
      <c r="E71" s="25" t="s">
        <v>532</v>
      </c>
      <c r="F71" s="40">
        <v>146.4</v>
      </c>
      <c r="G71"/>
    </row>
    <row r="72" spans="1:7" x14ac:dyDescent="0.25">
      <c r="A72" s="13">
        <v>71</v>
      </c>
      <c r="B72" s="10" t="s">
        <v>533</v>
      </c>
      <c r="C72" t="s">
        <v>959</v>
      </c>
      <c r="D72" s="22" t="s">
        <v>3</v>
      </c>
      <c r="E72" s="25" t="s">
        <v>534</v>
      </c>
      <c r="F72" s="40">
        <v>15</v>
      </c>
      <c r="G72"/>
    </row>
    <row r="73" spans="1:7" x14ac:dyDescent="0.25">
      <c r="A73" s="13">
        <v>72</v>
      </c>
      <c r="B73" s="10" t="s">
        <v>535</v>
      </c>
      <c r="C73" t="s">
        <v>960</v>
      </c>
      <c r="D73" s="22" t="s">
        <v>3</v>
      </c>
      <c r="E73" s="25" t="s">
        <v>536</v>
      </c>
      <c r="F73" s="40">
        <v>5</v>
      </c>
      <c r="G73"/>
    </row>
    <row r="74" spans="1:7" x14ac:dyDescent="0.25">
      <c r="A74" s="13">
        <v>73</v>
      </c>
      <c r="B74" s="10" t="s">
        <v>537</v>
      </c>
      <c r="C74" t="s">
        <v>961</v>
      </c>
      <c r="D74" s="22" t="s">
        <v>3</v>
      </c>
      <c r="E74" s="25" t="s">
        <v>538</v>
      </c>
      <c r="F74" s="40">
        <v>12</v>
      </c>
      <c r="G74"/>
    </row>
    <row r="75" spans="1:7" x14ac:dyDescent="0.25">
      <c r="A75" s="13">
        <v>74</v>
      </c>
      <c r="B75" s="10" t="s">
        <v>539</v>
      </c>
      <c r="C75" t="s">
        <v>962</v>
      </c>
      <c r="D75" s="22" t="s">
        <v>3</v>
      </c>
      <c r="E75" s="25" t="s">
        <v>540</v>
      </c>
      <c r="F75" s="40">
        <v>16.8</v>
      </c>
      <c r="G75"/>
    </row>
    <row r="76" spans="1:7" x14ac:dyDescent="0.25">
      <c r="A76" s="13">
        <v>75</v>
      </c>
      <c r="B76" s="10" t="s">
        <v>541</v>
      </c>
      <c r="C76" t="s">
        <v>963</v>
      </c>
      <c r="D76" s="22" t="s">
        <v>3</v>
      </c>
      <c r="E76" s="25" t="s">
        <v>542</v>
      </c>
      <c r="F76" s="40">
        <v>5</v>
      </c>
      <c r="G76"/>
    </row>
    <row r="77" spans="1:7" x14ac:dyDescent="0.25">
      <c r="A77" s="13">
        <v>76</v>
      </c>
      <c r="B77" s="10" t="s">
        <v>543</v>
      </c>
      <c r="C77" t="s">
        <v>964</v>
      </c>
      <c r="D77" s="22" t="s">
        <v>3</v>
      </c>
      <c r="E77" s="25" t="s">
        <v>544</v>
      </c>
      <c r="F77" s="40">
        <v>25</v>
      </c>
      <c r="G77"/>
    </row>
    <row r="78" spans="1:7" x14ac:dyDescent="0.25">
      <c r="A78" s="13">
        <v>77</v>
      </c>
      <c r="B78" s="10" t="s">
        <v>545</v>
      </c>
      <c r="C78" t="s">
        <v>965</v>
      </c>
      <c r="D78" s="22" t="s">
        <v>3</v>
      </c>
      <c r="E78" s="25" t="s">
        <v>546</v>
      </c>
      <c r="F78" s="40">
        <v>25</v>
      </c>
      <c r="G78"/>
    </row>
    <row r="79" spans="1:7" x14ac:dyDescent="0.25">
      <c r="A79" s="13">
        <v>78</v>
      </c>
      <c r="B79" s="10" t="s">
        <v>547</v>
      </c>
      <c r="C79" t="s">
        <v>966</v>
      </c>
      <c r="D79" s="22" t="s">
        <v>3</v>
      </c>
      <c r="E79" s="25" t="s">
        <v>548</v>
      </c>
      <c r="F79" s="40">
        <v>25</v>
      </c>
      <c r="G79"/>
    </row>
    <row r="80" spans="1:7" x14ac:dyDescent="0.25">
      <c r="A80" s="13">
        <v>79</v>
      </c>
      <c r="B80" s="10" t="s">
        <v>549</v>
      </c>
      <c r="C80" t="s">
        <v>967</v>
      </c>
      <c r="D80" s="22" t="s">
        <v>3</v>
      </c>
      <c r="E80" s="25" t="s">
        <v>550</v>
      </c>
      <c r="F80" s="40">
        <v>5</v>
      </c>
      <c r="G80"/>
    </row>
    <row r="81" spans="1:7" x14ac:dyDescent="0.25">
      <c r="A81" s="13">
        <v>80</v>
      </c>
      <c r="B81" s="10" t="s">
        <v>551</v>
      </c>
      <c r="C81" t="s">
        <v>968</v>
      </c>
      <c r="D81" s="22" t="s">
        <v>3</v>
      </c>
      <c r="E81" s="25" t="s">
        <v>552</v>
      </c>
      <c r="F81" s="40">
        <v>5</v>
      </c>
      <c r="G81"/>
    </row>
    <row r="82" spans="1:7" x14ac:dyDescent="0.25">
      <c r="A82" s="13">
        <v>81</v>
      </c>
      <c r="B82" s="10" t="s">
        <v>553</v>
      </c>
      <c r="C82" t="s">
        <v>969</v>
      </c>
      <c r="D82" s="22" t="s">
        <v>3</v>
      </c>
      <c r="E82" s="25" t="s">
        <v>554</v>
      </c>
      <c r="F82" s="40">
        <v>5</v>
      </c>
      <c r="G82"/>
    </row>
    <row r="83" spans="1:7" x14ac:dyDescent="0.25">
      <c r="A83" s="13">
        <v>82</v>
      </c>
      <c r="B83" s="10" t="s">
        <v>555</v>
      </c>
      <c r="C83" t="s">
        <v>970</v>
      </c>
      <c r="D83" s="22" t="s">
        <v>3</v>
      </c>
      <c r="E83" s="25" t="s">
        <v>552</v>
      </c>
      <c r="F83" s="40">
        <v>5</v>
      </c>
      <c r="G83"/>
    </row>
    <row r="84" spans="1:7" x14ac:dyDescent="0.25">
      <c r="A84" s="13">
        <v>83</v>
      </c>
      <c r="B84" s="10" t="s">
        <v>556</v>
      </c>
      <c r="C84" t="s">
        <v>971</v>
      </c>
      <c r="D84" s="22" t="s">
        <v>3</v>
      </c>
      <c r="E84" s="25" t="s">
        <v>557</v>
      </c>
      <c r="F84" s="40">
        <v>8.8000000000000007</v>
      </c>
      <c r="G84"/>
    </row>
    <row r="85" spans="1:7" x14ac:dyDescent="0.25">
      <c r="A85" s="13">
        <v>84</v>
      </c>
      <c r="B85" s="10" t="s">
        <v>558</v>
      </c>
      <c r="C85" t="s">
        <v>972</v>
      </c>
      <c r="D85" s="22" t="s">
        <v>3</v>
      </c>
      <c r="E85" s="25" t="s">
        <v>559</v>
      </c>
      <c r="F85" s="40">
        <v>5</v>
      </c>
      <c r="G85"/>
    </row>
    <row r="86" spans="1:7" x14ac:dyDescent="0.25">
      <c r="A86" s="13">
        <v>85</v>
      </c>
      <c r="B86" s="10" t="s">
        <v>560</v>
      </c>
      <c r="C86" t="s">
        <v>973</v>
      </c>
      <c r="D86" s="22" t="s">
        <v>3</v>
      </c>
      <c r="E86" s="25" t="s">
        <v>561</v>
      </c>
      <c r="F86" s="40">
        <v>5</v>
      </c>
      <c r="G86"/>
    </row>
    <row r="87" spans="1:7" x14ac:dyDescent="0.25">
      <c r="A87" s="13">
        <v>86</v>
      </c>
      <c r="B87" s="10" t="s">
        <v>562</v>
      </c>
      <c r="C87" t="s">
        <v>974</v>
      </c>
      <c r="D87" s="22" t="s">
        <v>3</v>
      </c>
      <c r="E87" s="25" t="s">
        <v>563</v>
      </c>
      <c r="F87" s="40">
        <v>5</v>
      </c>
      <c r="G87"/>
    </row>
    <row r="88" spans="1:7" x14ac:dyDescent="0.25">
      <c r="A88" s="13">
        <v>87</v>
      </c>
      <c r="B88" s="10" t="s">
        <v>564</v>
      </c>
      <c r="C88" t="s">
        <v>975</v>
      </c>
      <c r="D88" s="22" t="s">
        <v>3</v>
      </c>
      <c r="E88" s="25" t="s">
        <v>565</v>
      </c>
      <c r="F88" s="40">
        <v>8.5</v>
      </c>
      <c r="G88"/>
    </row>
    <row r="89" spans="1:7" x14ac:dyDescent="0.25">
      <c r="A89" s="13">
        <v>88</v>
      </c>
      <c r="B89" s="36" t="s">
        <v>1285</v>
      </c>
      <c r="C89" t="s">
        <v>1286</v>
      </c>
      <c r="D89" s="22" t="s">
        <v>3</v>
      </c>
      <c r="E89" s="25" t="s">
        <v>565</v>
      </c>
      <c r="F89" s="40">
        <v>5</v>
      </c>
      <c r="G89"/>
    </row>
    <row r="90" spans="1:7" x14ac:dyDescent="0.25">
      <c r="A90" s="13">
        <v>89</v>
      </c>
      <c r="B90" s="10" t="s">
        <v>566</v>
      </c>
      <c r="C90" t="s">
        <v>976</v>
      </c>
      <c r="D90" s="22" t="s">
        <v>3</v>
      </c>
      <c r="E90" s="25" t="s">
        <v>567</v>
      </c>
      <c r="F90" s="40">
        <v>5</v>
      </c>
      <c r="G90"/>
    </row>
    <row r="91" spans="1:7" x14ac:dyDescent="0.25">
      <c r="A91" s="13">
        <v>90</v>
      </c>
      <c r="B91" s="10" t="s">
        <v>568</v>
      </c>
      <c r="C91" t="s">
        <v>977</v>
      </c>
      <c r="D91" s="22" t="s">
        <v>3</v>
      </c>
      <c r="E91" s="25" t="s">
        <v>569</v>
      </c>
      <c r="F91" s="40">
        <v>11</v>
      </c>
      <c r="G91"/>
    </row>
    <row r="92" spans="1:7" x14ac:dyDescent="0.25">
      <c r="A92" s="13">
        <v>91</v>
      </c>
      <c r="B92" s="10" t="s">
        <v>570</v>
      </c>
      <c r="C92" t="s">
        <v>978</v>
      </c>
      <c r="D92" s="22" t="s">
        <v>3</v>
      </c>
      <c r="E92" s="25" t="s">
        <v>571</v>
      </c>
      <c r="F92" s="40">
        <v>15</v>
      </c>
      <c r="G92"/>
    </row>
    <row r="93" spans="1:7" x14ac:dyDescent="0.25">
      <c r="A93" s="13">
        <v>92</v>
      </c>
      <c r="B93" s="10" t="s">
        <v>572</v>
      </c>
      <c r="C93" t="s">
        <v>979</v>
      </c>
      <c r="D93" s="22" t="s">
        <v>3</v>
      </c>
      <c r="E93" s="25" t="s">
        <v>573</v>
      </c>
      <c r="F93" s="40">
        <v>5</v>
      </c>
      <c r="G93"/>
    </row>
    <row r="94" spans="1:7" x14ac:dyDescent="0.25">
      <c r="A94" s="13">
        <v>93</v>
      </c>
      <c r="B94" s="10" t="s">
        <v>574</v>
      </c>
      <c r="C94" t="s">
        <v>980</v>
      </c>
      <c r="D94" s="22" t="s">
        <v>3</v>
      </c>
      <c r="E94" s="25" t="s">
        <v>575</v>
      </c>
      <c r="F94" s="40">
        <v>255</v>
      </c>
      <c r="G94"/>
    </row>
    <row r="95" spans="1:7" x14ac:dyDescent="0.25">
      <c r="A95" s="13">
        <v>94</v>
      </c>
      <c r="B95" s="10" t="s">
        <v>576</v>
      </c>
      <c r="C95" t="s">
        <v>981</v>
      </c>
      <c r="D95" s="22" t="s">
        <v>3</v>
      </c>
      <c r="E95" s="25" t="s">
        <v>577</v>
      </c>
      <c r="F95" s="40">
        <v>305</v>
      </c>
      <c r="G95"/>
    </row>
    <row r="96" spans="1:7" x14ac:dyDescent="0.25">
      <c r="A96" s="13">
        <v>95</v>
      </c>
      <c r="B96" s="10" t="s">
        <v>578</v>
      </c>
      <c r="C96" t="s">
        <v>982</v>
      </c>
      <c r="D96" s="22" t="s">
        <v>3</v>
      </c>
      <c r="E96" s="25" t="s">
        <v>579</v>
      </c>
      <c r="F96" s="40">
        <v>5</v>
      </c>
      <c r="G96"/>
    </row>
    <row r="97" spans="1:7" x14ac:dyDescent="0.25">
      <c r="A97" s="13">
        <v>96</v>
      </c>
      <c r="B97" s="10" t="s">
        <v>580</v>
      </c>
      <c r="C97" t="s">
        <v>983</v>
      </c>
      <c r="D97" s="22" t="s">
        <v>3</v>
      </c>
      <c r="E97" s="25" t="s">
        <v>581</v>
      </c>
      <c r="F97" s="40">
        <v>5</v>
      </c>
      <c r="G97"/>
    </row>
    <row r="98" spans="1:7" x14ac:dyDescent="0.25">
      <c r="A98" s="13">
        <v>97</v>
      </c>
      <c r="B98" s="10" t="s">
        <v>582</v>
      </c>
      <c r="C98" t="s">
        <v>984</v>
      </c>
      <c r="D98" s="22" t="s">
        <v>3</v>
      </c>
      <c r="E98" s="25" t="s">
        <v>583</v>
      </c>
      <c r="F98" s="40">
        <v>167</v>
      </c>
      <c r="G98"/>
    </row>
    <row r="99" spans="1:7" x14ac:dyDescent="0.25">
      <c r="A99" s="13">
        <v>98</v>
      </c>
      <c r="B99" s="10" t="s">
        <v>584</v>
      </c>
      <c r="C99" t="s">
        <v>1144</v>
      </c>
      <c r="D99" s="22" t="s">
        <v>3</v>
      </c>
      <c r="E99" s="25" t="s">
        <v>561</v>
      </c>
      <c r="F99" s="40">
        <v>5</v>
      </c>
      <c r="G99"/>
    </row>
    <row r="100" spans="1:7" x14ac:dyDescent="0.25">
      <c r="A100" s="13">
        <v>99</v>
      </c>
      <c r="B100" s="10" t="s">
        <v>585</v>
      </c>
      <c r="C100" t="s">
        <v>1137</v>
      </c>
      <c r="D100" s="22" t="s">
        <v>3</v>
      </c>
      <c r="E100" s="25" t="s">
        <v>586</v>
      </c>
      <c r="F100" s="40">
        <v>5</v>
      </c>
      <c r="G100"/>
    </row>
    <row r="101" spans="1:7" x14ac:dyDescent="0.25">
      <c r="A101" s="13">
        <v>100</v>
      </c>
      <c r="B101" s="10" t="s">
        <v>587</v>
      </c>
      <c r="C101" t="s">
        <v>1138</v>
      </c>
      <c r="D101" s="22" t="s">
        <v>3</v>
      </c>
      <c r="E101" s="25" t="s">
        <v>588</v>
      </c>
      <c r="F101" s="40">
        <v>5</v>
      </c>
      <c r="G101"/>
    </row>
    <row r="102" spans="1:7" x14ac:dyDescent="0.25">
      <c r="A102" s="13">
        <v>101</v>
      </c>
      <c r="B102" s="10" t="s">
        <v>589</v>
      </c>
      <c r="C102" t="s">
        <v>1139</v>
      </c>
      <c r="D102" s="22" t="s">
        <v>3</v>
      </c>
      <c r="E102" s="25" t="s">
        <v>590</v>
      </c>
      <c r="F102" s="40">
        <v>5</v>
      </c>
      <c r="G102"/>
    </row>
    <row r="103" spans="1:7" x14ac:dyDescent="0.25">
      <c r="A103" s="13">
        <v>102</v>
      </c>
      <c r="B103" s="10" t="s">
        <v>591</v>
      </c>
      <c r="C103" t="s">
        <v>1140</v>
      </c>
      <c r="D103" s="22" t="s">
        <v>3</v>
      </c>
      <c r="E103" s="25" t="s">
        <v>592</v>
      </c>
      <c r="F103" s="40">
        <v>5</v>
      </c>
      <c r="G103"/>
    </row>
    <row r="104" spans="1:7" x14ac:dyDescent="0.25">
      <c r="A104" s="13">
        <v>103</v>
      </c>
      <c r="B104" s="10" t="s">
        <v>593</v>
      </c>
      <c r="C104" t="s">
        <v>1141</v>
      </c>
      <c r="D104" s="22" t="s">
        <v>3</v>
      </c>
      <c r="E104" s="25" t="s">
        <v>594</v>
      </c>
      <c r="F104" s="40">
        <v>5</v>
      </c>
      <c r="G104"/>
    </row>
    <row r="105" spans="1:7" x14ac:dyDescent="0.25">
      <c r="A105" s="13">
        <v>104</v>
      </c>
      <c r="B105" s="10" t="s">
        <v>595</v>
      </c>
      <c r="C105" t="s">
        <v>1142</v>
      </c>
      <c r="D105" s="22" t="s">
        <v>3</v>
      </c>
      <c r="E105" s="25" t="s">
        <v>596</v>
      </c>
      <c r="F105" s="40">
        <v>5</v>
      </c>
      <c r="G105"/>
    </row>
    <row r="106" spans="1:7" x14ac:dyDescent="0.25">
      <c r="A106" s="13">
        <v>105</v>
      </c>
      <c r="B106" s="10" t="s">
        <v>597</v>
      </c>
      <c r="C106" t="s">
        <v>1143</v>
      </c>
      <c r="D106" s="22" t="s">
        <v>3</v>
      </c>
      <c r="E106" s="25" t="s">
        <v>598</v>
      </c>
      <c r="F106" s="40">
        <v>5</v>
      </c>
      <c r="G106"/>
    </row>
    <row r="107" spans="1:7" x14ac:dyDescent="0.25">
      <c r="A107" s="13">
        <v>106</v>
      </c>
      <c r="B107" s="10" t="s">
        <v>599</v>
      </c>
      <c r="C107" t="s">
        <v>985</v>
      </c>
      <c r="D107" s="22" t="s">
        <v>3</v>
      </c>
      <c r="E107" s="27" t="s">
        <v>1110</v>
      </c>
      <c r="F107" s="40">
        <v>315</v>
      </c>
      <c r="G107"/>
    </row>
    <row r="108" spans="1:7" x14ac:dyDescent="0.25">
      <c r="A108" s="13">
        <v>107</v>
      </c>
      <c r="B108" s="10" t="s">
        <v>600</v>
      </c>
      <c r="C108" t="s">
        <v>986</v>
      </c>
      <c r="D108" s="22" t="s">
        <v>3</v>
      </c>
      <c r="E108" s="27" t="s">
        <v>1110</v>
      </c>
      <c r="F108" s="40">
        <v>432</v>
      </c>
      <c r="G108"/>
    </row>
    <row r="109" spans="1:7" x14ac:dyDescent="0.25">
      <c r="A109" s="13">
        <v>108</v>
      </c>
      <c r="B109" s="10" t="s">
        <v>601</v>
      </c>
      <c r="C109" t="s">
        <v>987</v>
      </c>
      <c r="D109" s="22" t="s">
        <v>3</v>
      </c>
      <c r="E109" s="27" t="s">
        <v>1110</v>
      </c>
      <c r="F109" s="40">
        <v>680</v>
      </c>
      <c r="G109"/>
    </row>
    <row r="110" spans="1:7" x14ac:dyDescent="0.25">
      <c r="A110" s="13">
        <v>109</v>
      </c>
      <c r="B110" s="10" t="s">
        <v>602</v>
      </c>
      <c r="C110" t="s">
        <v>988</v>
      </c>
      <c r="D110" s="22" t="s">
        <v>3</v>
      </c>
      <c r="E110" s="27" t="s">
        <v>1110</v>
      </c>
      <c r="F110" s="40">
        <v>1000</v>
      </c>
      <c r="G110"/>
    </row>
    <row r="111" spans="1:7" x14ac:dyDescent="0.25">
      <c r="A111" s="13">
        <v>110</v>
      </c>
      <c r="B111" s="10" t="s">
        <v>603</v>
      </c>
      <c r="C111" t="s">
        <v>989</v>
      </c>
      <c r="D111" s="22" t="s">
        <v>3</v>
      </c>
      <c r="E111" s="27" t="s">
        <v>1110</v>
      </c>
      <c r="F111" s="40">
        <v>5</v>
      </c>
      <c r="G111"/>
    </row>
    <row r="112" spans="1:7" x14ac:dyDescent="0.25">
      <c r="A112" s="13">
        <v>111</v>
      </c>
      <c r="B112" s="10" t="s">
        <v>604</v>
      </c>
      <c r="C112" t="s">
        <v>990</v>
      </c>
      <c r="D112" s="22" t="s">
        <v>3</v>
      </c>
      <c r="E112" s="25" t="s">
        <v>605</v>
      </c>
      <c r="F112" s="40">
        <v>5</v>
      </c>
      <c r="G112"/>
    </row>
    <row r="113" spans="1:7" x14ac:dyDescent="0.25">
      <c r="A113" s="13">
        <v>112</v>
      </c>
      <c r="B113" s="10" t="s">
        <v>606</v>
      </c>
      <c r="C113" t="s">
        <v>991</v>
      </c>
      <c r="D113" s="22" t="s">
        <v>3</v>
      </c>
      <c r="E113" s="25" t="s">
        <v>607</v>
      </c>
      <c r="F113" s="40">
        <v>1727.2</v>
      </c>
      <c r="G113"/>
    </row>
    <row r="114" spans="1:7" x14ac:dyDescent="0.25">
      <c r="A114" s="13">
        <v>113</v>
      </c>
      <c r="B114" s="10" t="s">
        <v>608</v>
      </c>
      <c r="C114" t="s">
        <v>992</v>
      </c>
      <c r="D114" s="22" t="s">
        <v>3</v>
      </c>
      <c r="E114" s="25" t="s">
        <v>609</v>
      </c>
      <c r="F114" s="40">
        <v>5</v>
      </c>
      <c r="G114"/>
    </row>
    <row r="115" spans="1:7" x14ac:dyDescent="0.25">
      <c r="A115" s="13">
        <v>114</v>
      </c>
      <c r="B115" s="10" t="s">
        <v>610</v>
      </c>
      <c r="C115" t="s">
        <v>993</v>
      </c>
      <c r="D115" s="22" t="s">
        <v>3</v>
      </c>
      <c r="E115" s="25" t="s">
        <v>609</v>
      </c>
      <c r="F115" s="40">
        <v>5</v>
      </c>
      <c r="G115"/>
    </row>
    <row r="116" spans="1:7" x14ac:dyDescent="0.25">
      <c r="A116" s="13">
        <v>115</v>
      </c>
      <c r="B116" s="10" t="s">
        <v>611</v>
      </c>
      <c r="C116" t="s">
        <v>1145</v>
      </c>
      <c r="D116" s="22" t="s">
        <v>3</v>
      </c>
      <c r="E116" s="25" t="s">
        <v>612</v>
      </c>
      <c r="F116" s="40">
        <v>5</v>
      </c>
      <c r="G116"/>
    </row>
    <row r="117" spans="1:7" x14ac:dyDescent="0.25">
      <c r="A117" s="13">
        <v>116</v>
      </c>
      <c r="B117" s="10" t="s">
        <v>613</v>
      </c>
      <c r="C117" t="s">
        <v>1146</v>
      </c>
      <c r="D117" s="22" t="s">
        <v>3</v>
      </c>
      <c r="E117" s="25" t="s">
        <v>614</v>
      </c>
      <c r="F117" s="40">
        <v>2054</v>
      </c>
      <c r="G117"/>
    </row>
    <row r="118" spans="1:7" x14ac:dyDescent="0.25">
      <c r="A118" s="13">
        <v>117</v>
      </c>
      <c r="B118" s="10" t="s">
        <v>615</v>
      </c>
      <c r="C118" t="s">
        <v>1147</v>
      </c>
      <c r="D118" s="22" t="s">
        <v>3</v>
      </c>
      <c r="E118" s="25" t="s">
        <v>616</v>
      </c>
      <c r="F118" s="40">
        <v>5</v>
      </c>
      <c r="G118"/>
    </row>
    <row r="119" spans="1:7" x14ac:dyDescent="0.25">
      <c r="A119" s="13">
        <v>118</v>
      </c>
      <c r="B119" s="10" t="s">
        <v>617</v>
      </c>
      <c r="C119" t="s">
        <v>1148</v>
      </c>
      <c r="D119" s="22" t="s">
        <v>3</v>
      </c>
      <c r="E119" s="25" t="s">
        <v>616</v>
      </c>
      <c r="F119" s="40">
        <v>5</v>
      </c>
      <c r="G119"/>
    </row>
    <row r="120" spans="1:7" x14ac:dyDescent="0.25">
      <c r="A120" s="13">
        <v>119</v>
      </c>
      <c r="B120" s="10" t="s">
        <v>618</v>
      </c>
      <c r="C120" t="s">
        <v>994</v>
      </c>
      <c r="D120" s="22" t="s">
        <v>3</v>
      </c>
      <c r="E120" s="25" t="s">
        <v>619</v>
      </c>
      <c r="F120" s="40">
        <v>130</v>
      </c>
      <c r="G120"/>
    </row>
    <row r="121" spans="1:7" x14ac:dyDescent="0.25">
      <c r="A121" s="13">
        <v>120</v>
      </c>
      <c r="B121" s="10" t="s">
        <v>620</v>
      </c>
      <c r="C121" t="s">
        <v>995</v>
      </c>
      <c r="D121" s="22" t="s">
        <v>3</v>
      </c>
      <c r="E121" s="25" t="s">
        <v>621</v>
      </c>
      <c r="F121" s="40">
        <v>150</v>
      </c>
      <c r="G121"/>
    </row>
    <row r="122" spans="1:7" x14ac:dyDescent="0.25">
      <c r="A122" s="13">
        <v>121</v>
      </c>
      <c r="B122" s="10" t="s">
        <v>622</v>
      </c>
      <c r="C122" t="s">
        <v>996</v>
      </c>
      <c r="D122" s="22" t="s">
        <v>3</v>
      </c>
      <c r="E122" s="25" t="s">
        <v>623</v>
      </c>
      <c r="F122" s="40">
        <v>5</v>
      </c>
      <c r="G122"/>
    </row>
    <row r="123" spans="1:7" x14ac:dyDescent="0.25">
      <c r="A123" s="13">
        <v>122</v>
      </c>
      <c r="B123" s="10" t="s">
        <v>624</v>
      </c>
      <c r="C123" t="s">
        <v>997</v>
      </c>
      <c r="D123" s="22" t="s">
        <v>3</v>
      </c>
      <c r="E123" s="25" t="s">
        <v>625</v>
      </c>
      <c r="F123" s="40">
        <v>153.85</v>
      </c>
      <c r="G123"/>
    </row>
    <row r="124" spans="1:7" x14ac:dyDescent="0.25">
      <c r="A124" s="13">
        <v>123</v>
      </c>
      <c r="B124" s="10" t="s">
        <v>626</v>
      </c>
      <c r="C124" t="s">
        <v>998</v>
      </c>
      <c r="D124" s="22" t="s">
        <v>3</v>
      </c>
      <c r="E124" s="25" t="s">
        <v>627</v>
      </c>
      <c r="F124" s="40">
        <v>5</v>
      </c>
      <c r="G124"/>
    </row>
    <row r="125" spans="1:7" x14ac:dyDescent="0.25">
      <c r="A125" s="13">
        <v>124</v>
      </c>
      <c r="B125" s="10" t="s">
        <v>628</v>
      </c>
      <c r="C125" t="s">
        <v>999</v>
      </c>
      <c r="D125" s="22" t="s">
        <v>3</v>
      </c>
      <c r="E125" s="25" t="s">
        <v>629</v>
      </c>
      <c r="F125" s="40">
        <v>176.65</v>
      </c>
      <c r="G125"/>
    </row>
    <row r="126" spans="1:7" x14ac:dyDescent="0.25">
      <c r="A126" s="13">
        <v>125</v>
      </c>
      <c r="B126" s="10" t="s">
        <v>630</v>
      </c>
      <c r="C126" t="s">
        <v>1000</v>
      </c>
      <c r="D126" s="22" t="s">
        <v>3</v>
      </c>
      <c r="E126" s="25" t="s">
        <v>631</v>
      </c>
      <c r="F126" s="40">
        <v>5</v>
      </c>
      <c r="G126"/>
    </row>
    <row r="127" spans="1:7" x14ac:dyDescent="0.25">
      <c r="A127" s="13">
        <v>126</v>
      </c>
      <c r="B127" s="10" t="s">
        <v>632</v>
      </c>
      <c r="C127" t="s">
        <v>1001</v>
      </c>
      <c r="D127" s="22" t="s">
        <v>3</v>
      </c>
      <c r="E127" s="25" t="s">
        <v>633</v>
      </c>
      <c r="F127" s="40">
        <v>5</v>
      </c>
      <c r="G127"/>
    </row>
    <row r="128" spans="1:7" x14ac:dyDescent="0.25">
      <c r="A128" s="13">
        <v>127</v>
      </c>
      <c r="B128" s="10" t="s">
        <v>634</v>
      </c>
      <c r="C128" t="s">
        <v>1002</v>
      </c>
      <c r="D128" s="22" t="s">
        <v>3</v>
      </c>
      <c r="E128" s="25" t="s">
        <v>635</v>
      </c>
      <c r="F128" s="40">
        <v>5</v>
      </c>
      <c r="G128"/>
    </row>
    <row r="129" spans="1:7" x14ac:dyDescent="0.25">
      <c r="A129" s="13">
        <v>128</v>
      </c>
      <c r="B129" s="10" t="s">
        <v>636</v>
      </c>
      <c r="C129" t="s">
        <v>1003</v>
      </c>
      <c r="D129" s="22" t="s">
        <v>3</v>
      </c>
      <c r="E129" s="25" t="s">
        <v>637</v>
      </c>
      <c r="F129" s="40">
        <v>22.4</v>
      </c>
      <c r="G129"/>
    </row>
    <row r="130" spans="1:7" x14ac:dyDescent="0.25">
      <c r="A130" s="13">
        <v>129</v>
      </c>
      <c r="B130" s="10" t="s">
        <v>638</v>
      </c>
      <c r="C130" t="s">
        <v>1004</v>
      </c>
      <c r="D130" s="22" t="s">
        <v>3</v>
      </c>
      <c r="E130" s="25" t="s">
        <v>639</v>
      </c>
      <c r="F130" s="40">
        <v>22.4</v>
      </c>
      <c r="G130"/>
    </row>
    <row r="131" spans="1:7" x14ac:dyDescent="0.25">
      <c r="A131" s="13">
        <v>130</v>
      </c>
      <c r="B131" s="10" t="s">
        <v>640</v>
      </c>
      <c r="C131" t="s">
        <v>1005</v>
      </c>
      <c r="D131" s="22" t="s">
        <v>3</v>
      </c>
      <c r="E131" s="25" t="s">
        <v>641</v>
      </c>
      <c r="F131" s="40">
        <v>22.4</v>
      </c>
      <c r="G131"/>
    </row>
    <row r="132" spans="1:7" x14ac:dyDescent="0.25">
      <c r="A132" s="13">
        <v>131</v>
      </c>
      <c r="B132" s="10" t="s">
        <v>642</v>
      </c>
      <c r="C132" t="s">
        <v>1006</v>
      </c>
      <c r="D132" s="22" t="s">
        <v>3</v>
      </c>
      <c r="E132" s="25" t="s">
        <v>643</v>
      </c>
      <c r="F132" s="40">
        <v>155</v>
      </c>
      <c r="G132"/>
    </row>
    <row r="133" spans="1:7" x14ac:dyDescent="0.25">
      <c r="A133" s="13">
        <v>132</v>
      </c>
      <c r="B133" s="10" t="s">
        <v>644</v>
      </c>
      <c r="C133" t="s">
        <v>1007</v>
      </c>
      <c r="D133" s="22" t="s">
        <v>3</v>
      </c>
      <c r="E133" s="25" t="s">
        <v>645</v>
      </c>
      <c r="F133" s="40">
        <v>5</v>
      </c>
      <c r="G133"/>
    </row>
    <row r="134" spans="1:7" x14ac:dyDescent="0.25">
      <c r="A134" s="13">
        <v>133</v>
      </c>
      <c r="B134" s="10" t="s">
        <v>646</v>
      </c>
      <c r="C134" t="s">
        <v>1008</v>
      </c>
      <c r="D134" s="22" t="s">
        <v>3</v>
      </c>
      <c r="E134" s="25" t="s">
        <v>647</v>
      </c>
      <c r="F134" s="40">
        <v>550</v>
      </c>
      <c r="G134"/>
    </row>
    <row r="135" spans="1:7" x14ac:dyDescent="0.25">
      <c r="A135" s="13">
        <v>134</v>
      </c>
      <c r="B135" s="10" t="s">
        <v>648</v>
      </c>
      <c r="C135" t="s">
        <v>1009</v>
      </c>
      <c r="D135" s="22" t="s">
        <v>851</v>
      </c>
      <c r="E135" s="25" t="s">
        <v>649</v>
      </c>
      <c r="F135" s="40">
        <v>30</v>
      </c>
      <c r="G135"/>
    </row>
    <row r="136" spans="1:7" x14ac:dyDescent="0.25">
      <c r="A136" s="13">
        <v>135</v>
      </c>
      <c r="B136" s="10" t="s">
        <v>650</v>
      </c>
      <c r="C136" t="s">
        <v>1010</v>
      </c>
      <c r="D136" s="22" t="s">
        <v>3</v>
      </c>
      <c r="E136" s="25" t="s">
        <v>651</v>
      </c>
      <c r="F136" s="40">
        <v>118.93</v>
      </c>
      <c r="G136"/>
    </row>
    <row r="137" spans="1:7" x14ac:dyDescent="0.25">
      <c r="A137" s="13">
        <v>136</v>
      </c>
      <c r="B137" s="10" t="s">
        <v>652</v>
      </c>
      <c r="C137" t="s">
        <v>1011</v>
      </c>
      <c r="D137" s="22" t="s">
        <v>3</v>
      </c>
      <c r="E137" s="25" t="s">
        <v>653</v>
      </c>
      <c r="F137" s="40">
        <v>5</v>
      </c>
      <c r="G137"/>
    </row>
    <row r="138" spans="1:7" x14ac:dyDescent="0.25">
      <c r="A138" s="13">
        <v>137</v>
      </c>
      <c r="B138" s="10" t="s">
        <v>654</v>
      </c>
      <c r="C138" t="s">
        <v>1012</v>
      </c>
      <c r="D138" s="22" t="s">
        <v>3</v>
      </c>
      <c r="E138" s="25" t="s">
        <v>655</v>
      </c>
      <c r="F138" s="40">
        <v>5</v>
      </c>
      <c r="G138"/>
    </row>
    <row r="139" spans="1:7" x14ac:dyDescent="0.25">
      <c r="A139" s="13">
        <v>138</v>
      </c>
      <c r="B139" s="10" t="s">
        <v>656</v>
      </c>
      <c r="C139" t="s">
        <v>1013</v>
      </c>
      <c r="D139" s="22" t="s">
        <v>3</v>
      </c>
      <c r="E139" s="25" t="s">
        <v>657</v>
      </c>
      <c r="F139" s="40">
        <v>125</v>
      </c>
      <c r="G139"/>
    </row>
    <row r="140" spans="1:7" x14ac:dyDescent="0.25">
      <c r="A140" s="13">
        <v>139</v>
      </c>
      <c r="B140" s="10" t="s">
        <v>658</v>
      </c>
      <c r="C140" t="s">
        <v>1014</v>
      </c>
      <c r="D140" s="22" t="s">
        <v>3</v>
      </c>
      <c r="E140" s="25" t="s">
        <v>659</v>
      </c>
      <c r="F140" s="40">
        <v>150</v>
      </c>
      <c r="G140"/>
    </row>
    <row r="141" spans="1:7" x14ac:dyDescent="0.25">
      <c r="A141" s="13">
        <v>140</v>
      </c>
      <c r="B141" s="10" t="s">
        <v>660</v>
      </c>
      <c r="C141" t="s">
        <v>1015</v>
      </c>
      <c r="D141" s="22" t="s">
        <v>3</v>
      </c>
      <c r="E141" s="25" t="s">
        <v>661</v>
      </c>
      <c r="F141" s="40">
        <v>5</v>
      </c>
      <c r="G141"/>
    </row>
    <row r="142" spans="1:7" x14ac:dyDescent="0.25">
      <c r="A142" s="13">
        <v>141</v>
      </c>
      <c r="B142" s="10" t="s">
        <v>662</v>
      </c>
      <c r="C142" t="s">
        <v>1149</v>
      </c>
      <c r="D142" s="22" t="s">
        <v>3</v>
      </c>
      <c r="E142" s="25" t="s">
        <v>663</v>
      </c>
      <c r="F142" s="40">
        <v>5</v>
      </c>
      <c r="G142"/>
    </row>
    <row r="143" spans="1:7" x14ac:dyDescent="0.25">
      <c r="A143" s="13">
        <v>142</v>
      </c>
      <c r="B143" s="10" t="s">
        <v>664</v>
      </c>
      <c r="C143" t="s">
        <v>1016</v>
      </c>
      <c r="D143" s="22" t="s">
        <v>3</v>
      </c>
      <c r="E143" s="25" t="s">
        <v>665</v>
      </c>
      <c r="F143" s="40">
        <v>5</v>
      </c>
      <c r="G143"/>
    </row>
    <row r="144" spans="1:7" x14ac:dyDescent="0.25">
      <c r="A144" s="13">
        <v>143</v>
      </c>
      <c r="B144" s="10" t="s">
        <v>666</v>
      </c>
      <c r="C144" t="s">
        <v>1017</v>
      </c>
      <c r="D144" s="22" t="s">
        <v>3</v>
      </c>
      <c r="E144" s="25" t="s">
        <v>667</v>
      </c>
      <c r="F144" s="40">
        <v>5</v>
      </c>
      <c r="G144"/>
    </row>
    <row r="145" spans="1:7" x14ac:dyDescent="0.25">
      <c r="A145" s="13">
        <v>144</v>
      </c>
      <c r="B145" s="10" t="s">
        <v>668</v>
      </c>
      <c r="C145" t="s">
        <v>1018</v>
      </c>
      <c r="D145" s="22" t="s">
        <v>3</v>
      </c>
      <c r="E145" s="25" t="s">
        <v>667</v>
      </c>
      <c r="F145" s="40">
        <v>5</v>
      </c>
      <c r="G145"/>
    </row>
    <row r="146" spans="1:7" ht="18" x14ac:dyDescent="0.25">
      <c r="A146" s="13">
        <v>145</v>
      </c>
      <c r="B146" s="10" t="s">
        <v>669</v>
      </c>
      <c r="C146" t="s">
        <v>1019</v>
      </c>
      <c r="D146" s="22" t="s">
        <v>3</v>
      </c>
      <c r="E146" s="25" t="s">
        <v>670</v>
      </c>
      <c r="F146" s="40">
        <v>5</v>
      </c>
      <c r="G146"/>
    </row>
    <row r="147" spans="1:7" ht="18" x14ac:dyDescent="0.25">
      <c r="A147" s="13">
        <v>146</v>
      </c>
      <c r="B147" s="10" t="s">
        <v>671</v>
      </c>
      <c r="C147" t="s">
        <v>1020</v>
      </c>
      <c r="D147" s="22" t="s">
        <v>3</v>
      </c>
      <c r="E147" s="25" t="s">
        <v>670</v>
      </c>
      <c r="F147" s="40">
        <v>5</v>
      </c>
      <c r="G147"/>
    </row>
    <row r="148" spans="1:7" x14ac:dyDescent="0.25">
      <c r="A148" s="13">
        <v>147</v>
      </c>
      <c r="B148" s="10" t="s">
        <v>672</v>
      </c>
      <c r="C148" t="s">
        <v>1021</v>
      </c>
      <c r="D148" s="22" t="s">
        <v>3</v>
      </c>
      <c r="E148" s="25" t="s">
        <v>673</v>
      </c>
      <c r="F148" s="40">
        <v>5</v>
      </c>
      <c r="G148"/>
    </row>
    <row r="149" spans="1:7" x14ac:dyDescent="0.25">
      <c r="A149" s="13">
        <v>148</v>
      </c>
      <c r="B149" s="10" t="s">
        <v>674</v>
      </c>
      <c r="C149" t="s">
        <v>1022</v>
      </c>
      <c r="D149" s="22" t="s">
        <v>3</v>
      </c>
      <c r="E149" s="25" t="s">
        <v>673</v>
      </c>
      <c r="F149" s="40">
        <v>5</v>
      </c>
      <c r="G149"/>
    </row>
    <row r="150" spans="1:7" x14ac:dyDescent="0.25">
      <c r="A150" s="13">
        <v>149</v>
      </c>
      <c r="B150" s="37" t="s">
        <v>899</v>
      </c>
      <c r="C150" t="s">
        <v>1321</v>
      </c>
      <c r="D150" s="39" t="s">
        <v>3</v>
      </c>
      <c r="E150" s="25"/>
      <c r="F150" s="40">
        <v>1508</v>
      </c>
      <c r="G150"/>
    </row>
    <row r="151" spans="1:7" x14ac:dyDescent="0.25">
      <c r="A151" s="13">
        <v>150</v>
      </c>
      <c r="B151" s="37" t="s">
        <v>1182</v>
      </c>
      <c r="C151" t="s">
        <v>1023</v>
      </c>
      <c r="D151" s="22" t="s">
        <v>3</v>
      </c>
      <c r="E151" s="28" t="s">
        <v>1110</v>
      </c>
      <c r="F151" s="40">
        <v>5</v>
      </c>
      <c r="G151"/>
    </row>
    <row r="152" spans="1:7" x14ac:dyDescent="0.25">
      <c r="A152" s="13">
        <v>151</v>
      </c>
      <c r="B152" s="37" t="s">
        <v>1318</v>
      </c>
      <c r="C152" t="s">
        <v>1181</v>
      </c>
      <c r="D152" s="22" t="s">
        <v>3</v>
      </c>
      <c r="E152" s="28" t="s">
        <v>1110</v>
      </c>
      <c r="F152" s="40">
        <v>2500</v>
      </c>
      <c r="G152"/>
    </row>
    <row r="153" spans="1:7" x14ac:dyDescent="0.25">
      <c r="A153" s="13">
        <v>152</v>
      </c>
      <c r="B153" s="37" t="s">
        <v>1319</v>
      </c>
      <c r="C153" t="s">
        <v>1320</v>
      </c>
      <c r="D153" s="22" t="s">
        <v>3</v>
      </c>
      <c r="E153" s="28" t="s">
        <v>1110</v>
      </c>
      <c r="F153" s="40">
        <v>5</v>
      </c>
      <c r="G153"/>
    </row>
    <row r="154" spans="1:7" x14ac:dyDescent="0.25">
      <c r="A154" s="13">
        <v>153</v>
      </c>
      <c r="B154" s="10" t="s">
        <v>675</v>
      </c>
      <c r="C154" t="s">
        <v>1150</v>
      </c>
      <c r="D154" s="22" t="s">
        <v>3</v>
      </c>
      <c r="E154" s="28" t="s">
        <v>1110</v>
      </c>
      <c r="F154" s="40">
        <v>5</v>
      </c>
      <c r="G154"/>
    </row>
    <row r="155" spans="1:7" x14ac:dyDescent="0.25">
      <c r="A155" s="13">
        <v>154</v>
      </c>
      <c r="B155" s="10" t="s">
        <v>676</v>
      </c>
      <c r="C155" t="s">
        <v>1024</v>
      </c>
      <c r="D155" s="22" t="s">
        <v>3</v>
      </c>
      <c r="E155" s="25" t="s">
        <v>677</v>
      </c>
      <c r="F155" s="40">
        <v>5</v>
      </c>
      <c r="G155"/>
    </row>
    <row r="156" spans="1:7" x14ac:dyDescent="0.25">
      <c r="A156" s="13">
        <v>155</v>
      </c>
      <c r="B156" s="10" t="s">
        <v>678</v>
      </c>
      <c r="C156" t="s">
        <v>1025</v>
      </c>
      <c r="D156" s="22" t="s">
        <v>3</v>
      </c>
      <c r="E156" s="25" t="s">
        <v>679</v>
      </c>
      <c r="F156" s="40">
        <v>1600</v>
      </c>
      <c r="G156"/>
    </row>
    <row r="157" spans="1:7" x14ac:dyDescent="0.25">
      <c r="A157" s="13">
        <v>156</v>
      </c>
      <c r="B157" s="10" t="s">
        <v>680</v>
      </c>
      <c r="C157" t="s">
        <v>1026</v>
      </c>
      <c r="D157" s="22" t="s">
        <v>3</v>
      </c>
      <c r="E157" s="25" t="s">
        <v>681</v>
      </c>
      <c r="F157" s="40">
        <v>5</v>
      </c>
      <c r="G157"/>
    </row>
    <row r="158" spans="1:7" x14ac:dyDescent="0.25">
      <c r="A158" s="13">
        <v>157</v>
      </c>
      <c r="B158" s="10" t="s">
        <v>682</v>
      </c>
      <c r="C158" t="s">
        <v>1027</v>
      </c>
      <c r="D158" s="22" t="s">
        <v>3</v>
      </c>
      <c r="E158" s="25" t="s">
        <v>683</v>
      </c>
      <c r="F158" s="40">
        <v>1354.82</v>
      </c>
      <c r="G158"/>
    </row>
    <row r="159" spans="1:7" x14ac:dyDescent="0.25">
      <c r="A159" s="13">
        <v>158</v>
      </c>
      <c r="B159" s="10" t="s">
        <v>684</v>
      </c>
      <c r="C159" t="s">
        <v>1028</v>
      </c>
      <c r="D159" s="22" t="s">
        <v>3</v>
      </c>
      <c r="E159" s="25" t="s">
        <v>685</v>
      </c>
      <c r="F159" s="40">
        <v>5</v>
      </c>
      <c r="G159"/>
    </row>
    <row r="160" spans="1:7" x14ac:dyDescent="0.25">
      <c r="A160" s="13">
        <v>159</v>
      </c>
      <c r="B160" s="10" t="s">
        <v>686</v>
      </c>
      <c r="C160" t="s">
        <v>1029</v>
      </c>
      <c r="D160" s="22" t="s">
        <v>3</v>
      </c>
      <c r="E160" s="25" t="s">
        <v>687</v>
      </c>
      <c r="F160" s="40">
        <v>17.3</v>
      </c>
      <c r="G160"/>
    </row>
    <row r="161" spans="1:7" x14ac:dyDescent="0.25">
      <c r="A161" s="13">
        <v>160</v>
      </c>
      <c r="B161" s="10" t="s">
        <v>688</v>
      </c>
      <c r="C161" t="s">
        <v>1030</v>
      </c>
      <c r="D161" s="22" t="s">
        <v>3</v>
      </c>
      <c r="E161" s="25" t="s">
        <v>689</v>
      </c>
      <c r="F161" s="40">
        <v>24</v>
      </c>
      <c r="G161"/>
    </row>
    <row r="162" spans="1:7" x14ac:dyDescent="0.25">
      <c r="A162" s="13">
        <v>161</v>
      </c>
      <c r="B162" s="10" t="s">
        <v>690</v>
      </c>
      <c r="C162" t="s">
        <v>1031</v>
      </c>
      <c r="D162" s="22" t="s">
        <v>3</v>
      </c>
      <c r="E162" s="25" t="s">
        <v>691</v>
      </c>
      <c r="F162" s="40">
        <v>28.1</v>
      </c>
      <c r="G162"/>
    </row>
    <row r="163" spans="1:7" x14ac:dyDescent="0.25">
      <c r="A163" s="13">
        <v>162</v>
      </c>
      <c r="B163" s="10" t="s">
        <v>692</v>
      </c>
      <c r="C163" t="s">
        <v>1032</v>
      </c>
      <c r="D163" s="22" t="s">
        <v>3</v>
      </c>
      <c r="E163" s="25" t="s">
        <v>693</v>
      </c>
      <c r="F163" s="40">
        <v>30.95</v>
      </c>
      <c r="G163"/>
    </row>
    <row r="164" spans="1:7" x14ac:dyDescent="0.25">
      <c r="A164" s="13">
        <v>163</v>
      </c>
      <c r="B164" s="10" t="s">
        <v>694</v>
      </c>
      <c r="C164" t="s">
        <v>1033</v>
      </c>
      <c r="D164" s="22" t="s">
        <v>3</v>
      </c>
      <c r="E164" s="25" t="s">
        <v>695</v>
      </c>
      <c r="F164" s="40">
        <v>32</v>
      </c>
      <c r="G164"/>
    </row>
    <row r="165" spans="1:7" x14ac:dyDescent="0.25">
      <c r="A165" s="13">
        <v>164</v>
      </c>
      <c r="B165" s="10" t="s">
        <v>696</v>
      </c>
      <c r="C165" t="s">
        <v>1034</v>
      </c>
      <c r="D165" s="22" t="s">
        <v>3</v>
      </c>
      <c r="E165" s="25" t="s">
        <v>697</v>
      </c>
      <c r="F165" s="40">
        <v>5</v>
      </c>
      <c r="G165"/>
    </row>
    <row r="166" spans="1:7" x14ac:dyDescent="0.25">
      <c r="A166" s="13">
        <v>165</v>
      </c>
      <c r="B166" s="10" t="s">
        <v>698</v>
      </c>
      <c r="C166" t="s">
        <v>1035</v>
      </c>
      <c r="D166" s="22" t="s">
        <v>3</v>
      </c>
      <c r="E166" s="25" t="s">
        <v>699</v>
      </c>
      <c r="F166" s="40">
        <v>5</v>
      </c>
      <c r="G166"/>
    </row>
    <row r="167" spans="1:7" x14ac:dyDescent="0.25">
      <c r="A167" s="13">
        <v>166</v>
      </c>
      <c r="B167" s="10" t="s">
        <v>700</v>
      </c>
      <c r="C167" t="s">
        <v>1036</v>
      </c>
      <c r="D167" s="22" t="s">
        <v>3</v>
      </c>
      <c r="E167" s="25" t="s">
        <v>701</v>
      </c>
      <c r="F167" s="40">
        <v>5</v>
      </c>
      <c r="G167"/>
    </row>
    <row r="168" spans="1:7" x14ac:dyDescent="0.25">
      <c r="A168" s="13">
        <v>167</v>
      </c>
      <c r="B168" s="10" t="s">
        <v>702</v>
      </c>
      <c r="C168" t="s">
        <v>1037</v>
      </c>
      <c r="D168" s="22" t="s">
        <v>3</v>
      </c>
      <c r="E168" s="25" t="s">
        <v>703</v>
      </c>
      <c r="F168" s="40">
        <v>5</v>
      </c>
      <c r="G168"/>
    </row>
    <row r="169" spans="1:7" x14ac:dyDescent="0.25">
      <c r="A169" s="13">
        <v>168</v>
      </c>
      <c r="B169" s="10" t="s">
        <v>704</v>
      </c>
      <c r="C169" t="s">
        <v>1038</v>
      </c>
      <c r="D169" s="22" t="s">
        <v>3</v>
      </c>
      <c r="E169" s="25" t="s">
        <v>705</v>
      </c>
      <c r="F169" s="40">
        <v>5</v>
      </c>
      <c r="G169"/>
    </row>
    <row r="170" spans="1:7" x14ac:dyDescent="0.25">
      <c r="A170" s="13">
        <v>169</v>
      </c>
      <c r="B170" s="36" t="s">
        <v>1174</v>
      </c>
      <c r="C170" t="s">
        <v>1151</v>
      </c>
      <c r="D170" s="22" t="s">
        <v>3</v>
      </c>
      <c r="E170" s="25" t="s">
        <v>705</v>
      </c>
      <c r="F170" s="40">
        <v>25</v>
      </c>
      <c r="G170"/>
    </row>
    <row r="171" spans="1:7" x14ac:dyDescent="0.25">
      <c r="A171" s="13">
        <v>170</v>
      </c>
      <c r="B171" s="10" t="s">
        <v>706</v>
      </c>
      <c r="C171" t="s">
        <v>1039</v>
      </c>
      <c r="D171" s="22" t="s">
        <v>3</v>
      </c>
      <c r="E171" s="25" t="s">
        <v>707</v>
      </c>
      <c r="F171" s="40">
        <v>52</v>
      </c>
      <c r="G171"/>
    </row>
    <row r="172" spans="1:7" x14ac:dyDescent="0.25">
      <c r="A172" s="13">
        <v>171</v>
      </c>
      <c r="B172" s="10" t="s">
        <v>708</v>
      </c>
      <c r="C172" t="s">
        <v>1040</v>
      </c>
      <c r="D172" s="22" t="s">
        <v>3</v>
      </c>
      <c r="E172" s="25" t="s">
        <v>709</v>
      </c>
      <c r="F172" s="40">
        <v>52</v>
      </c>
      <c r="G172"/>
    </row>
    <row r="173" spans="1:7" x14ac:dyDescent="0.25">
      <c r="A173" s="13">
        <v>172</v>
      </c>
      <c r="B173" s="10" t="s">
        <v>710</v>
      </c>
      <c r="C173" t="s">
        <v>1041</v>
      </c>
      <c r="D173" s="22" t="s">
        <v>3</v>
      </c>
      <c r="E173" s="25" t="s">
        <v>711</v>
      </c>
      <c r="F173" s="40">
        <v>68.16</v>
      </c>
      <c r="G173"/>
    </row>
    <row r="174" spans="1:7" x14ac:dyDescent="0.25">
      <c r="A174" s="13">
        <v>173</v>
      </c>
      <c r="B174" s="10" t="s">
        <v>712</v>
      </c>
      <c r="C174" t="s">
        <v>1042</v>
      </c>
      <c r="D174" s="22" t="s">
        <v>3</v>
      </c>
      <c r="E174" s="25" t="s">
        <v>713</v>
      </c>
      <c r="F174" s="40">
        <v>68.16</v>
      </c>
      <c r="G174"/>
    </row>
    <row r="175" spans="1:7" x14ac:dyDescent="0.25">
      <c r="A175" s="13">
        <v>174</v>
      </c>
      <c r="B175" s="10" t="s">
        <v>714</v>
      </c>
      <c r="C175" t="s">
        <v>1043</v>
      </c>
      <c r="D175" s="22" t="s">
        <v>3</v>
      </c>
      <c r="E175" s="25" t="s">
        <v>715</v>
      </c>
      <c r="F175" s="40">
        <v>60</v>
      </c>
      <c r="G175"/>
    </row>
    <row r="176" spans="1:7" x14ac:dyDescent="0.25">
      <c r="A176" s="13">
        <v>175</v>
      </c>
      <c r="B176" s="10" t="s">
        <v>716</v>
      </c>
      <c r="C176" t="s">
        <v>1044</v>
      </c>
      <c r="D176" s="22" t="s">
        <v>3</v>
      </c>
      <c r="E176" s="25" t="s">
        <v>717</v>
      </c>
      <c r="F176" s="40">
        <v>36.56</v>
      </c>
      <c r="G176"/>
    </row>
    <row r="177" spans="1:7" x14ac:dyDescent="0.25">
      <c r="A177" s="13">
        <v>176</v>
      </c>
      <c r="B177" s="10" t="s">
        <v>718</v>
      </c>
      <c r="C177" t="s">
        <v>1045</v>
      </c>
      <c r="D177" s="22" t="s">
        <v>3</v>
      </c>
      <c r="E177" s="25" t="s">
        <v>719</v>
      </c>
      <c r="F177" s="40">
        <v>36</v>
      </c>
      <c r="G177"/>
    </row>
    <row r="178" spans="1:7" x14ac:dyDescent="0.25">
      <c r="A178" s="13">
        <v>177</v>
      </c>
      <c r="B178" s="10" t="s">
        <v>720</v>
      </c>
      <c r="C178" t="s">
        <v>1046</v>
      </c>
      <c r="D178" s="22" t="s">
        <v>3</v>
      </c>
      <c r="E178" s="25" t="s">
        <v>721</v>
      </c>
      <c r="F178" s="40">
        <v>58</v>
      </c>
      <c r="G178"/>
    </row>
    <row r="179" spans="1:7" x14ac:dyDescent="0.25">
      <c r="A179" s="13">
        <v>178</v>
      </c>
      <c r="B179" s="10" t="s">
        <v>722</v>
      </c>
      <c r="C179" t="s">
        <v>1047</v>
      </c>
      <c r="D179" s="22" t="s">
        <v>3</v>
      </c>
      <c r="E179" s="25" t="s">
        <v>723</v>
      </c>
      <c r="F179" s="40">
        <v>5</v>
      </c>
      <c r="G179"/>
    </row>
    <row r="180" spans="1:7" x14ac:dyDescent="0.25">
      <c r="A180" s="13">
        <v>179</v>
      </c>
      <c r="B180" s="10" t="s">
        <v>724</v>
      </c>
      <c r="C180" t="s">
        <v>1048</v>
      </c>
      <c r="D180" s="22" t="s">
        <v>3</v>
      </c>
      <c r="E180" s="25" t="s">
        <v>725</v>
      </c>
      <c r="F180" s="40">
        <v>93</v>
      </c>
      <c r="G180"/>
    </row>
    <row r="181" spans="1:7" x14ac:dyDescent="0.25">
      <c r="A181" s="13">
        <v>180</v>
      </c>
      <c r="B181" s="10" t="s">
        <v>726</v>
      </c>
      <c r="C181" t="s">
        <v>1049</v>
      </c>
      <c r="D181" s="22" t="s">
        <v>3</v>
      </c>
      <c r="E181" s="25" t="s">
        <v>727</v>
      </c>
      <c r="F181" s="40">
        <v>5</v>
      </c>
      <c r="G181"/>
    </row>
    <row r="182" spans="1:7" x14ac:dyDescent="0.25">
      <c r="A182" s="13">
        <v>181</v>
      </c>
      <c r="B182" s="10" t="s">
        <v>728</v>
      </c>
      <c r="C182" t="s">
        <v>1050</v>
      </c>
      <c r="D182" s="22" t="s">
        <v>3</v>
      </c>
      <c r="E182" s="25" t="s">
        <v>729</v>
      </c>
      <c r="F182" s="40">
        <v>69</v>
      </c>
      <c r="G182"/>
    </row>
    <row r="183" spans="1:7" x14ac:dyDescent="0.25">
      <c r="A183" s="13">
        <v>182</v>
      </c>
      <c r="B183" s="10" t="s">
        <v>730</v>
      </c>
      <c r="C183" t="s">
        <v>1051</v>
      </c>
      <c r="D183" s="22" t="s">
        <v>3</v>
      </c>
      <c r="E183" s="25" t="s">
        <v>731</v>
      </c>
      <c r="F183" s="40">
        <v>70</v>
      </c>
      <c r="G183"/>
    </row>
    <row r="184" spans="1:7" x14ac:dyDescent="0.25">
      <c r="A184" s="13">
        <v>183</v>
      </c>
      <c r="B184" s="10" t="s">
        <v>732</v>
      </c>
      <c r="C184" t="s">
        <v>1052</v>
      </c>
      <c r="D184" s="22" t="s">
        <v>3</v>
      </c>
      <c r="E184" s="25" t="s">
        <v>733</v>
      </c>
      <c r="F184" s="40">
        <v>231.49</v>
      </c>
      <c r="G184"/>
    </row>
    <row r="185" spans="1:7" x14ac:dyDescent="0.25">
      <c r="A185" s="13">
        <v>184</v>
      </c>
      <c r="B185" s="10" t="s">
        <v>734</v>
      </c>
      <c r="C185" t="s">
        <v>1053</v>
      </c>
      <c r="D185" s="22" t="s">
        <v>3</v>
      </c>
      <c r="E185" s="25" t="s">
        <v>735</v>
      </c>
      <c r="F185" s="40">
        <v>5</v>
      </c>
      <c r="G185"/>
    </row>
    <row r="186" spans="1:7" x14ac:dyDescent="0.25">
      <c r="A186" s="13">
        <v>185</v>
      </c>
      <c r="B186" s="10" t="s">
        <v>736</v>
      </c>
      <c r="C186" t="s">
        <v>1054</v>
      </c>
      <c r="D186" s="22" t="s">
        <v>3</v>
      </c>
      <c r="E186" s="25" t="s">
        <v>737</v>
      </c>
      <c r="F186" s="40">
        <v>5</v>
      </c>
      <c r="G186"/>
    </row>
    <row r="187" spans="1:7" x14ac:dyDescent="0.25">
      <c r="A187" s="13">
        <v>186</v>
      </c>
      <c r="B187" s="10" t="s">
        <v>738</v>
      </c>
      <c r="C187" t="s">
        <v>1055</v>
      </c>
      <c r="D187" s="22" t="s">
        <v>3</v>
      </c>
      <c r="E187" s="25" t="s">
        <v>739</v>
      </c>
      <c r="F187" s="40">
        <v>231.49</v>
      </c>
      <c r="G187"/>
    </row>
    <row r="188" spans="1:7" x14ac:dyDescent="0.25">
      <c r="A188" s="13">
        <v>187</v>
      </c>
      <c r="B188" s="10" t="s">
        <v>740</v>
      </c>
      <c r="C188" t="s">
        <v>1056</v>
      </c>
      <c r="D188" s="22" t="s">
        <v>3</v>
      </c>
      <c r="E188" s="25" t="s">
        <v>741</v>
      </c>
      <c r="F188" s="40">
        <v>5</v>
      </c>
      <c r="G188"/>
    </row>
    <row r="189" spans="1:7" x14ac:dyDescent="0.25">
      <c r="A189" s="13">
        <v>188</v>
      </c>
      <c r="B189" s="10" t="s">
        <v>742</v>
      </c>
      <c r="C189" t="s">
        <v>1057</v>
      </c>
      <c r="D189" s="22" t="s">
        <v>3</v>
      </c>
      <c r="E189" s="25" t="s">
        <v>743</v>
      </c>
      <c r="F189" s="40">
        <v>5</v>
      </c>
      <c r="G189"/>
    </row>
    <row r="190" spans="1:7" x14ac:dyDescent="0.25">
      <c r="A190" s="13">
        <v>189</v>
      </c>
      <c r="B190" s="37" t="s">
        <v>1152</v>
      </c>
      <c r="C190" t="s">
        <v>817</v>
      </c>
      <c r="D190" s="22" t="s">
        <v>3</v>
      </c>
      <c r="E190" s="27" t="s">
        <v>1110</v>
      </c>
      <c r="F190" s="40">
        <v>6700</v>
      </c>
      <c r="G190"/>
    </row>
    <row r="191" spans="1:7" x14ac:dyDescent="0.25">
      <c r="A191" s="13">
        <v>190</v>
      </c>
      <c r="B191" s="37" t="s">
        <v>1153</v>
      </c>
      <c r="C191" t="s">
        <v>818</v>
      </c>
      <c r="D191" s="22" t="s">
        <v>3</v>
      </c>
      <c r="E191" s="27" t="s">
        <v>1110</v>
      </c>
      <c r="F191" s="40">
        <v>5</v>
      </c>
      <c r="G191"/>
    </row>
    <row r="192" spans="1:7" x14ac:dyDescent="0.25">
      <c r="A192" s="13">
        <v>191</v>
      </c>
      <c r="B192" s="37" t="s">
        <v>1154</v>
      </c>
      <c r="C192" t="s">
        <v>819</v>
      </c>
      <c r="D192" s="22" t="s">
        <v>3</v>
      </c>
      <c r="E192" s="27" t="s">
        <v>1110</v>
      </c>
      <c r="F192" s="40">
        <v>5</v>
      </c>
      <c r="G192"/>
    </row>
    <row r="193" spans="1:7" x14ac:dyDescent="0.25">
      <c r="A193" s="13">
        <v>192</v>
      </c>
      <c r="B193" s="37" t="s">
        <v>1155</v>
      </c>
      <c r="C193" t="s">
        <v>820</v>
      </c>
      <c r="D193" s="22" t="s">
        <v>3</v>
      </c>
      <c r="E193" s="27" t="s">
        <v>1110</v>
      </c>
      <c r="F193" s="40">
        <v>15392</v>
      </c>
      <c r="G193"/>
    </row>
    <row r="194" spans="1:7" x14ac:dyDescent="0.25">
      <c r="A194" s="13">
        <v>193</v>
      </c>
      <c r="B194" s="37" t="s">
        <v>1156</v>
      </c>
      <c r="C194" t="s">
        <v>1058</v>
      </c>
      <c r="D194" s="22" t="s">
        <v>3</v>
      </c>
      <c r="E194" s="27" t="s">
        <v>1110</v>
      </c>
      <c r="F194" s="40">
        <v>7641.6</v>
      </c>
      <c r="G194"/>
    </row>
    <row r="195" spans="1:7" x14ac:dyDescent="0.25">
      <c r="A195" s="13">
        <v>194</v>
      </c>
      <c r="B195" s="37" t="s">
        <v>1157</v>
      </c>
      <c r="C195" t="s">
        <v>1059</v>
      </c>
      <c r="D195" s="22" t="s">
        <v>3</v>
      </c>
      <c r="E195" s="27" t="s">
        <v>1110</v>
      </c>
      <c r="F195" s="40">
        <v>9087.31</v>
      </c>
      <c r="G195"/>
    </row>
    <row r="196" spans="1:7" x14ac:dyDescent="0.25">
      <c r="A196" s="13">
        <v>195</v>
      </c>
      <c r="B196" s="37" t="s">
        <v>1158</v>
      </c>
      <c r="C196" t="s">
        <v>1060</v>
      </c>
      <c r="D196" s="22" t="s">
        <v>3</v>
      </c>
      <c r="E196" s="27" t="s">
        <v>1110</v>
      </c>
      <c r="F196" s="40">
        <v>10260</v>
      </c>
      <c r="G196"/>
    </row>
    <row r="197" spans="1:7" x14ac:dyDescent="0.25">
      <c r="A197" s="13">
        <v>196</v>
      </c>
      <c r="B197" s="37" t="s">
        <v>1159</v>
      </c>
      <c r="C197" t="s">
        <v>1061</v>
      </c>
      <c r="D197" s="22" t="s">
        <v>3</v>
      </c>
      <c r="E197" s="27" t="s">
        <v>1110</v>
      </c>
      <c r="F197" s="40">
        <v>14000</v>
      </c>
      <c r="G197"/>
    </row>
    <row r="198" spans="1:7" x14ac:dyDescent="0.25">
      <c r="A198" s="13"/>
      <c r="B198" s="37" t="s">
        <v>1446</v>
      </c>
      <c r="C198" t="s">
        <v>1447</v>
      </c>
      <c r="D198" s="42"/>
      <c r="E198" s="27"/>
      <c r="F198" s="40"/>
      <c r="G198"/>
    </row>
    <row r="199" spans="1:7" x14ac:dyDescent="0.25">
      <c r="A199" s="13">
        <v>197</v>
      </c>
      <c r="B199" s="37" t="s">
        <v>1160</v>
      </c>
      <c r="C199" t="s">
        <v>1062</v>
      </c>
      <c r="D199" s="22" t="s">
        <v>3</v>
      </c>
      <c r="E199" s="27" t="s">
        <v>1110</v>
      </c>
      <c r="F199" s="40">
        <v>13600</v>
      </c>
      <c r="G199"/>
    </row>
    <row r="200" spans="1:7" x14ac:dyDescent="0.25">
      <c r="A200" s="13">
        <v>198</v>
      </c>
      <c r="B200" s="37" t="s">
        <v>1161</v>
      </c>
      <c r="C200" t="s">
        <v>1063</v>
      </c>
      <c r="D200" s="22" t="s">
        <v>3</v>
      </c>
      <c r="E200" s="27" t="s">
        <v>1110</v>
      </c>
      <c r="F200" s="40">
        <v>5</v>
      </c>
      <c r="G200"/>
    </row>
    <row r="201" spans="1:7" x14ac:dyDescent="0.25">
      <c r="A201" s="13">
        <v>199</v>
      </c>
      <c r="B201" s="37" t="s">
        <v>1162</v>
      </c>
      <c r="C201" t="s">
        <v>1064</v>
      </c>
      <c r="D201" s="22" t="s">
        <v>3</v>
      </c>
      <c r="E201" s="27" t="s">
        <v>1110</v>
      </c>
      <c r="F201" s="40">
        <v>22305.22</v>
      </c>
      <c r="G201"/>
    </row>
    <row r="202" spans="1:7" x14ac:dyDescent="0.25">
      <c r="A202" s="13">
        <v>200</v>
      </c>
      <c r="B202" s="37" t="s">
        <v>1163</v>
      </c>
      <c r="C202" t="s">
        <v>1065</v>
      </c>
      <c r="D202" s="22" t="s">
        <v>3</v>
      </c>
      <c r="E202" s="27" t="s">
        <v>1110</v>
      </c>
      <c r="F202" s="40">
        <v>25000</v>
      </c>
      <c r="G202"/>
    </row>
    <row r="203" spans="1:7" x14ac:dyDescent="0.25">
      <c r="A203" s="13"/>
      <c r="B203" s="37" t="s">
        <v>1444</v>
      </c>
      <c r="C203" t="s">
        <v>1445</v>
      </c>
      <c r="D203" s="42"/>
      <c r="E203" s="27"/>
      <c r="F203" s="40"/>
      <c r="G203"/>
    </row>
    <row r="204" spans="1:7" x14ac:dyDescent="0.25">
      <c r="A204" s="13">
        <v>201</v>
      </c>
      <c r="B204" s="37" t="s">
        <v>1164</v>
      </c>
      <c r="C204" t="s">
        <v>1066</v>
      </c>
      <c r="D204" s="22" t="s">
        <v>3</v>
      </c>
      <c r="E204" s="27" t="s">
        <v>421</v>
      </c>
      <c r="F204" s="40">
        <v>5</v>
      </c>
      <c r="G204"/>
    </row>
    <row r="205" spans="1:7" x14ac:dyDescent="0.25">
      <c r="A205" s="13">
        <v>202</v>
      </c>
      <c r="B205" s="37" t="s">
        <v>1165</v>
      </c>
      <c r="C205" t="s">
        <v>1067</v>
      </c>
      <c r="D205" s="22" t="s">
        <v>3</v>
      </c>
      <c r="E205" s="27" t="s">
        <v>421</v>
      </c>
      <c r="F205" s="40">
        <v>5</v>
      </c>
      <c r="G205"/>
    </row>
    <row r="206" spans="1:7" x14ac:dyDescent="0.25">
      <c r="A206" s="13">
        <v>203</v>
      </c>
      <c r="B206" s="37" t="s">
        <v>1166</v>
      </c>
      <c r="C206" t="s">
        <v>1068</v>
      </c>
      <c r="D206" s="22" t="s">
        <v>3</v>
      </c>
      <c r="E206" s="27" t="s">
        <v>421</v>
      </c>
      <c r="F206" s="40">
        <v>5</v>
      </c>
      <c r="G206"/>
    </row>
    <row r="207" spans="1:7" x14ac:dyDescent="0.25">
      <c r="A207" s="13">
        <v>204</v>
      </c>
      <c r="B207" s="37" t="s">
        <v>1167</v>
      </c>
      <c r="C207" t="s">
        <v>1069</v>
      </c>
      <c r="D207" s="22" t="s">
        <v>3</v>
      </c>
      <c r="E207" s="27" t="s">
        <v>421</v>
      </c>
      <c r="F207" s="40">
        <v>5</v>
      </c>
      <c r="G207"/>
    </row>
    <row r="208" spans="1:7" x14ac:dyDescent="0.25">
      <c r="A208" s="13"/>
      <c r="B208" s="37" t="s">
        <v>1433</v>
      </c>
      <c r="C208" t="s">
        <v>1432</v>
      </c>
      <c r="D208" s="42"/>
      <c r="E208" s="27"/>
      <c r="F208" s="40"/>
      <c r="G208"/>
    </row>
    <row r="209" spans="1:7" x14ac:dyDescent="0.25">
      <c r="A209" s="13"/>
      <c r="B209" s="37" t="s">
        <v>1435</v>
      </c>
      <c r="C209" t="s">
        <v>1434</v>
      </c>
      <c r="D209" s="42"/>
      <c r="E209" s="27"/>
      <c r="F209" s="40"/>
      <c r="G209"/>
    </row>
    <row r="210" spans="1:7" x14ac:dyDescent="0.25">
      <c r="A210" s="13"/>
      <c r="B210" s="37" t="s">
        <v>1436</v>
      </c>
      <c r="C210" t="s">
        <v>1440</v>
      </c>
      <c r="D210" s="42"/>
      <c r="E210" s="27"/>
      <c r="F210" s="40"/>
      <c r="G210"/>
    </row>
    <row r="211" spans="1:7" x14ac:dyDescent="0.25">
      <c r="A211" s="13"/>
      <c r="B211" s="37" t="s">
        <v>1437</v>
      </c>
      <c r="C211" t="s">
        <v>1441</v>
      </c>
      <c r="D211" s="42"/>
      <c r="E211" s="27"/>
      <c r="F211" s="40"/>
      <c r="G211"/>
    </row>
    <row r="212" spans="1:7" x14ac:dyDescent="0.25">
      <c r="A212" s="13"/>
      <c r="B212" s="37" t="s">
        <v>1438</v>
      </c>
      <c r="C212" t="s">
        <v>1442</v>
      </c>
      <c r="D212" s="42"/>
      <c r="E212" s="27"/>
      <c r="F212" s="40"/>
      <c r="G212"/>
    </row>
    <row r="213" spans="1:7" x14ac:dyDescent="0.25">
      <c r="A213" s="13"/>
      <c r="B213" s="37" t="s">
        <v>1439</v>
      </c>
      <c r="C213" t="s">
        <v>1443</v>
      </c>
      <c r="D213" s="42"/>
      <c r="E213" s="27"/>
      <c r="F213" s="40"/>
      <c r="G213"/>
    </row>
    <row r="214" spans="1:7" x14ac:dyDescent="0.25">
      <c r="A214" s="13">
        <v>205</v>
      </c>
      <c r="B214" s="10" t="s">
        <v>744</v>
      </c>
      <c r="C214" t="s">
        <v>1070</v>
      </c>
      <c r="D214" s="22" t="s">
        <v>3</v>
      </c>
      <c r="E214" s="25" t="s">
        <v>745</v>
      </c>
      <c r="F214" s="40">
        <v>245</v>
      </c>
      <c r="G214"/>
    </row>
    <row r="215" spans="1:7" x14ac:dyDescent="0.25">
      <c r="A215" s="13">
        <v>206</v>
      </c>
      <c r="B215" s="10" t="s">
        <v>746</v>
      </c>
      <c r="C215" t="s">
        <v>1071</v>
      </c>
      <c r="D215" s="22" t="s">
        <v>3</v>
      </c>
      <c r="E215" s="25" t="s">
        <v>747</v>
      </c>
      <c r="F215" s="40">
        <v>275</v>
      </c>
      <c r="G215"/>
    </row>
    <row r="216" spans="1:7" x14ac:dyDescent="0.25">
      <c r="A216" s="13">
        <v>207</v>
      </c>
      <c r="B216" s="10" t="s">
        <v>748</v>
      </c>
      <c r="C216" t="s">
        <v>1072</v>
      </c>
      <c r="D216" s="22" t="s">
        <v>3</v>
      </c>
      <c r="E216" s="27" t="s">
        <v>1110</v>
      </c>
      <c r="F216" s="40">
        <v>5</v>
      </c>
      <c r="G216"/>
    </row>
    <row r="217" spans="1:7" x14ac:dyDescent="0.25">
      <c r="A217" s="13">
        <v>208</v>
      </c>
      <c r="B217" s="10" t="s">
        <v>749</v>
      </c>
      <c r="C217" t="s">
        <v>1073</v>
      </c>
      <c r="D217" s="22" t="s">
        <v>3</v>
      </c>
      <c r="E217" s="25" t="s">
        <v>750</v>
      </c>
      <c r="F217" s="40">
        <v>5</v>
      </c>
      <c r="G217"/>
    </row>
    <row r="218" spans="1:7" x14ac:dyDescent="0.25">
      <c r="A218" s="13">
        <v>209</v>
      </c>
      <c r="B218" s="10" t="s">
        <v>751</v>
      </c>
      <c r="C218" t="s">
        <v>1074</v>
      </c>
      <c r="D218" s="22" t="s">
        <v>3</v>
      </c>
      <c r="E218" s="25" t="s">
        <v>752</v>
      </c>
      <c r="F218" s="40">
        <v>128.80000000000001</v>
      </c>
      <c r="G218"/>
    </row>
    <row r="219" spans="1:7" x14ac:dyDescent="0.25">
      <c r="A219" s="13">
        <v>210</v>
      </c>
      <c r="B219" s="10" t="s">
        <v>753</v>
      </c>
      <c r="C219" t="s">
        <v>1075</v>
      </c>
      <c r="D219" s="22" t="s">
        <v>3</v>
      </c>
      <c r="E219" s="25" t="s">
        <v>754</v>
      </c>
      <c r="F219" s="40">
        <v>5</v>
      </c>
      <c r="G219"/>
    </row>
    <row r="220" spans="1:7" x14ac:dyDescent="0.25">
      <c r="A220" s="13">
        <v>211</v>
      </c>
      <c r="B220" s="10" t="s">
        <v>755</v>
      </c>
      <c r="C220" t="s">
        <v>1168</v>
      </c>
      <c r="D220" s="22" t="s">
        <v>3</v>
      </c>
      <c r="E220" s="25" t="s">
        <v>756</v>
      </c>
      <c r="F220" s="40">
        <v>5</v>
      </c>
      <c r="G220"/>
    </row>
    <row r="221" spans="1:7" x14ac:dyDescent="0.25">
      <c r="A221" s="13">
        <v>212</v>
      </c>
      <c r="B221" s="10" t="s">
        <v>757</v>
      </c>
      <c r="C221" t="s">
        <v>1169</v>
      </c>
      <c r="D221" s="22" t="s">
        <v>3</v>
      </c>
      <c r="E221" s="25" t="s">
        <v>758</v>
      </c>
      <c r="F221" s="40">
        <v>5</v>
      </c>
      <c r="G221"/>
    </row>
    <row r="222" spans="1:7" x14ac:dyDescent="0.25">
      <c r="A222" s="13">
        <v>213</v>
      </c>
      <c r="B222" s="10" t="s">
        <v>759</v>
      </c>
      <c r="C222" t="s">
        <v>1075</v>
      </c>
      <c r="D222" s="22" t="s">
        <v>3</v>
      </c>
      <c r="E222" s="25" t="s">
        <v>760</v>
      </c>
      <c r="F222" s="40">
        <v>5</v>
      </c>
      <c r="G222"/>
    </row>
    <row r="223" spans="1:7" x14ac:dyDescent="0.25">
      <c r="A223" s="13">
        <v>214</v>
      </c>
      <c r="B223" s="10" t="s">
        <v>761</v>
      </c>
      <c r="C223" t="s">
        <v>1168</v>
      </c>
      <c r="D223" s="22" t="s">
        <v>3</v>
      </c>
      <c r="E223" s="25" t="s">
        <v>762</v>
      </c>
      <c r="F223" s="40">
        <v>5</v>
      </c>
      <c r="G223"/>
    </row>
    <row r="224" spans="1:7" x14ac:dyDescent="0.25">
      <c r="A224" s="13">
        <v>215</v>
      </c>
      <c r="B224" s="10" t="s">
        <v>763</v>
      </c>
      <c r="C224" t="s">
        <v>1076</v>
      </c>
      <c r="D224" s="22" t="s">
        <v>3</v>
      </c>
      <c r="E224" s="25" t="s">
        <v>764</v>
      </c>
      <c r="F224" s="40">
        <v>5</v>
      </c>
      <c r="G224"/>
    </row>
    <row r="225" spans="1:7" x14ac:dyDescent="0.25">
      <c r="A225" s="13">
        <v>216</v>
      </c>
      <c r="B225" s="10" t="s">
        <v>765</v>
      </c>
      <c r="C225" t="s">
        <v>1077</v>
      </c>
      <c r="D225" s="22" t="s">
        <v>3</v>
      </c>
      <c r="E225" s="25" t="s">
        <v>766</v>
      </c>
      <c r="F225" s="40">
        <v>81.42</v>
      </c>
      <c r="G225"/>
    </row>
    <row r="226" spans="1:7" x14ac:dyDescent="0.25">
      <c r="A226" s="13">
        <v>217</v>
      </c>
      <c r="B226" s="36" t="s">
        <v>849</v>
      </c>
      <c r="C226" t="s">
        <v>1078</v>
      </c>
      <c r="D226" s="22" t="s">
        <v>3</v>
      </c>
      <c r="E226" s="25" t="s">
        <v>767</v>
      </c>
      <c r="F226" s="40">
        <v>5</v>
      </c>
      <c r="G226"/>
    </row>
    <row r="227" spans="1:7" x14ac:dyDescent="0.25">
      <c r="A227" s="13">
        <v>218</v>
      </c>
      <c r="B227" s="10" t="s">
        <v>768</v>
      </c>
      <c r="C227" t="s">
        <v>1079</v>
      </c>
      <c r="D227" s="22" t="s">
        <v>3</v>
      </c>
      <c r="E227" s="25" t="s">
        <v>769</v>
      </c>
      <c r="F227" s="40">
        <v>5</v>
      </c>
      <c r="G227"/>
    </row>
    <row r="228" spans="1:7" x14ac:dyDescent="0.25">
      <c r="A228" s="13">
        <v>219</v>
      </c>
      <c r="B228" s="10" t="s">
        <v>770</v>
      </c>
      <c r="C228" t="s">
        <v>1080</v>
      </c>
      <c r="D228" s="22" t="s">
        <v>3</v>
      </c>
      <c r="E228" s="25" t="s">
        <v>769</v>
      </c>
      <c r="F228" s="40">
        <v>5</v>
      </c>
      <c r="G228"/>
    </row>
    <row r="229" spans="1:7" x14ac:dyDescent="0.25">
      <c r="A229" s="13">
        <v>220</v>
      </c>
      <c r="B229" s="10" t="s">
        <v>771</v>
      </c>
      <c r="C229" t="s">
        <v>1081</v>
      </c>
      <c r="D229" s="22" t="s">
        <v>3</v>
      </c>
      <c r="E229" s="25" t="s">
        <v>769</v>
      </c>
      <c r="F229" s="40">
        <v>5</v>
      </c>
      <c r="G229"/>
    </row>
    <row r="230" spans="1:7" x14ac:dyDescent="0.25">
      <c r="A230" s="13">
        <v>221</v>
      </c>
      <c r="B230" s="10" t="s">
        <v>772</v>
      </c>
      <c r="C230" t="s">
        <v>1082</v>
      </c>
      <c r="D230" s="22" t="s">
        <v>3</v>
      </c>
      <c r="E230" s="25" t="s">
        <v>769</v>
      </c>
      <c r="F230" s="40">
        <v>5</v>
      </c>
      <c r="G230"/>
    </row>
    <row r="231" spans="1:7" x14ac:dyDescent="0.25">
      <c r="A231" s="13">
        <v>222</v>
      </c>
      <c r="B231" s="10" t="s">
        <v>773</v>
      </c>
      <c r="C231" t="s">
        <v>1083</v>
      </c>
      <c r="D231" s="22" t="s">
        <v>3</v>
      </c>
      <c r="E231" s="25" t="s">
        <v>769</v>
      </c>
      <c r="F231" s="40">
        <v>5</v>
      </c>
      <c r="G231"/>
    </row>
    <row r="232" spans="1:7" x14ac:dyDescent="0.25">
      <c r="A232" s="13">
        <v>223</v>
      </c>
      <c r="B232" s="10" t="s">
        <v>774</v>
      </c>
      <c r="C232" t="s">
        <v>1084</v>
      </c>
      <c r="D232" s="22" t="s">
        <v>3</v>
      </c>
      <c r="E232" s="25" t="s">
        <v>769</v>
      </c>
      <c r="F232" s="40">
        <v>5</v>
      </c>
      <c r="G232"/>
    </row>
    <row r="233" spans="1:7" x14ac:dyDescent="0.25">
      <c r="A233" s="13">
        <v>224</v>
      </c>
      <c r="B233" s="10" t="s">
        <v>775</v>
      </c>
      <c r="C233" t="s">
        <v>1085</v>
      </c>
      <c r="D233" s="22" t="s">
        <v>3</v>
      </c>
      <c r="E233" s="25" t="s">
        <v>769</v>
      </c>
      <c r="F233" s="40">
        <v>5</v>
      </c>
      <c r="G233"/>
    </row>
    <row r="234" spans="1:7" x14ac:dyDescent="0.25">
      <c r="A234" s="13">
        <v>225</v>
      </c>
      <c r="B234" s="10" t="s">
        <v>776</v>
      </c>
      <c r="C234" t="s">
        <v>1086</v>
      </c>
      <c r="D234" s="22" t="s">
        <v>3</v>
      </c>
      <c r="E234" s="25" t="s">
        <v>769</v>
      </c>
      <c r="F234" s="40">
        <v>39750</v>
      </c>
      <c r="G234"/>
    </row>
    <row r="235" spans="1:7" x14ac:dyDescent="0.25">
      <c r="A235" s="13">
        <v>226</v>
      </c>
      <c r="B235" s="10" t="s">
        <v>777</v>
      </c>
      <c r="C235" t="s">
        <v>1087</v>
      </c>
      <c r="D235" s="22" t="s">
        <v>3</v>
      </c>
      <c r="E235" s="25" t="s">
        <v>769</v>
      </c>
      <c r="F235" s="40">
        <v>5</v>
      </c>
      <c r="G235"/>
    </row>
    <row r="236" spans="1:7" x14ac:dyDescent="0.25">
      <c r="A236" s="13">
        <v>227</v>
      </c>
      <c r="B236" s="10" t="s">
        <v>778</v>
      </c>
      <c r="C236" t="s">
        <v>1088</v>
      </c>
      <c r="D236" s="22" t="s">
        <v>3</v>
      </c>
      <c r="E236" s="25" t="s">
        <v>769</v>
      </c>
      <c r="F236" s="40">
        <v>53928.15</v>
      </c>
      <c r="G236"/>
    </row>
    <row r="237" spans="1:7" x14ac:dyDescent="0.25">
      <c r="A237" s="13">
        <v>228</v>
      </c>
      <c r="B237" s="10" t="s">
        <v>779</v>
      </c>
      <c r="C237" t="s">
        <v>1089</v>
      </c>
      <c r="D237" s="22" t="s">
        <v>3</v>
      </c>
      <c r="E237" s="25" t="s">
        <v>769</v>
      </c>
      <c r="F237" s="40">
        <v>5</v>
      </c>
      <c r="G237"/>
    </row>
    <row r="238" spans="1:7" x14ac:dyDescent="0.25">
      <c r="A238" s="13">
        <v>229</v>
      </c>
      <c r="B238" s="10" t="s">
        <v>780</v>
      </c>
      <c r="C238" t="s">
        <v>1090</v>
      </c>
      <c r="D238" s="22" t="s">
        <v>3</v>
      </c>
      <c r="E238" s="25" t="s">
        <v>769</v>
      </c>
      <c r="F238" s="40">
        <v>57095</v>
      </c>
      <c r="G238"/>
    </row>
    <row r="239" spans="1:7" x14ac:dyDescent="0.25">
      <c r="A239" s="13">
        <v>230</v>
      </c>
      <c r="B239" s="10" t="s">
        <v>781</v>
      </c>
      <c r="C239" t="s">
        <v>1091</v>
      </c>
      <c r="D239" s="22" t="s">
        <v>3</v>
      </c>
      <c r="E239" s="25" t="s">
        <v>769</v>
      </c>
      <c r="F239" s="40">
        <v>5</v>
      </c>
      <c r="G239"/>
    </row>
    <row r="240" spans="1:7" x14ac:dyDescent="0.25">
      <c r="A240" s="13">
        <v>231</v>
      </c>
      <c r="B240" s="10" t="s">
        <v>782</v>
      </c>
      <c r="C240" t="s">
        <v>1092</v>
      </c>
      <c r="D240" s="22" t="s">
        <v>3</v>
      </c>
      <c r="E240" s="25" t="s">
        <v>769</v>
      </c>
      <c r="F240" s="40">
        <v>5</v>
      </c>
      <c r="G240"/>
    </row>
    <row r="241" spans="1:7" x14ac:dyDescent="0.25">
      <c r="A241" s="13">
        <v>232</v>
      </c>
      <c r="B241" s="10" t="s">
        <v>783</v>
      </c>
      <c r="C241" t="s">
        <v>1093</v>
      </c>
      <c r="D241" s="22" t="s">
        <v>3</v>
      </c>
      <c r="E241" s="25" t="s">
        <v>769</v>
      </c>
      <c r="F241" s="40">
        <v>5</v>
      </c>
      <c r="G241"/>
    </row>
    <row r="242" spans="1:7" x14ac:dyDescent="0.25">
      <c r="A242" s="13">
        <v>233</v>
      </c>
      <c r="B242" s="10" t="s">
        <v>784</v>
      </c>
      <c r="C242" t="s">
        <v>1094</v>
      </c>
      <c r="D242" s="22" t="s">
        <v>3</v>
      </c>
      <c r="E242" s="25" t="s">
        <v>769</v>
      </c>
      <c r="F242" s="40">
        <v>5</v>
      </c>
      <c r="G242"/>
    </row>
    <row r="243" spans="1:7" x14ac:dyDescent="0.25">
      <c r="A243" s="13">
        <v>234</v>
      </c>
      <c r="B243" s="10" t="s">
        <v>785</v>
      </c>
      <c r="C243" t="s">
        <v>1095</v>
      </c>
      <c r="D243" s="22" t="s">
        <v>3</v>
      </c>
      <c r="E243" s="27" t="s">
        <v>1110</v>
      </c>
      <c r="F243" s="40">
        <v>650</v>
      </c>
      <c r="G243"/>
    </row>
    <row r="244" spans="1:7" x14ac:dyDescent="0.25">
      <c r="A244" s="13">
        <v>235</v>
      </c>
      <c r="B244" s="10" t="s">
        <v>786</v>
      </c>
      <c r="C244" t="s">
        <v>1096</v>
      </c>
      <c r="D244" s="22" t="s">
        <v>3</v>
      </c>
      <c r="E244" s="27" t="s">
        <v>1110</v>
      </c>
      <c r="F244" s="40">
        <v>2121.73</v>
      </c>
      <c r="G244"/>
    </row>
    <row r="245" spans="1:7" x14ac:dyDescent="0.25">
      <c r="A245" s="13">
        <v>236</v>
      </c>
      <c r="B245" s="10" t="s">
        <v>787</v>
      </c>
      <c r="C245" t="s">
        <v>1097</v>
      </c>
      <c r="D245" s="22" t="s">
        <v>3</v>
      </c>
      <c r="E245" s="25" t="s">
        <v>788</v>
      </c>
      <c r="F245" s="40">
        <v>35.840000000000003</v>
      </c>
      <c r="G245"/>
    </row>
    <row r="246" spans="1:7" x14ac:dyDescent="0.25">
      <c r="A246" s="13">
        <v>237</v>
      </c>
      <c r="B246" s="10" t="s">
        <v>789</v>
      </c>
      <c r="C246" t="s">
        <v>1098</v>
      </c>
      <c r="D246" s="22" t="s">
        <v>3</v>
      </c>
      <c r="E246" s="25" t="s">
        <v>790</v>
      </c>
      <c r="F246" s="40">
        <v>60</v>
      </c>
      <c r="G246"/>
    </row>
    <row r="247" spans="1:7" x14ac:dyDescent="0.25">
      <c r="A247" s="13">
        <v>238</v>
      </c>
      <c r="B247" s="10" t="s">
        <v>791</v>
      </c>
      <c r="C247" t="s">
        <v>1099</v>
      </c>
      <c r="D247" s="22" t="s">
        <v>3</v>
      </c>
      <c r="E247" s="25" t="s">
        <v>792</v>
      </c>
      <c r="F247" s="40">
        <v>5</v>
      </c>
      <c r="G247"/>
    </row>
    <row r="248" spans="1:7" x14ac:dyDescent="0.25">
      <c r="A248" s="13">
        <v>239</v>
      </c>
      <c r="B248" s="10" t="s">
        <v>793</v>
      </c>
      <c r="C248" t="s">
        <v>1100</v>
      </c>
      <c r="D248" s="22" t="s">
        <v>3</v>
      </c>
      <c r="E248" s="25" t="s">
        <v>794</v>
      </c>
      <c r="F248" s="40">
        <v>170</v>
      </c>
      <c r="G248"/>
    </row>
    <row r="249" spans="1:7" x14ac:dyDescent="0.25">
      <c r="A249" s="13">
        <v>240</v>
      </c>
      <c r="B249" s="10" t="s">
        <v>795</v>
      </c>
      <c r="C249" t="s">
        <v>1101</v>
      </c>
      <c r="D249" s="22" t="s">
        <v>3</v>
      </c>
      <c r="E249" s="25" t="s">
        <v>796</v>
      </c>
      <c r="F249" s="40">
        <v>5</v>
      </c>
      <c r="G249"/>
    </row>
    <row r="250" spans="1:7" x14ac:dyDescent="0.25">
      <c r="A250" s="13">
        <v>241</v>
      </c>
      <c r="B250" s="10" t="s">
        <v>797</v>
      </c>
      <c r="C250" t="s">
        <v>1102</v>
      </c>
      <c r="D250" s="22" t="s">
        <v>3</v>
      </c>
      <c r="E250" s="25" t="s">
        <v>798</v>
      </c>
      <c r="F250" s="40">
        <v>214.22</v>
      </c>
      <c r="G250"/>
    </row>
    <row r="251" spans="1:7" ht="18" x14ac:dyDescent="0.25">
      <c r="A251" s="13">
        <v>242</v>
      </c>
      <c r="B251" s="10" t="s">
        <v>799</v>
      </c>
      <c r="C251" t="s">
        <v>1170</v>
      </c>
      <c r="D251" s="22" t="s">
        <v>3</v>
      </c>
      <c r="E251" s="25" t="s">
        <v>800</v>
      </c>
      <c r="F251" s="40">
        <v>5</v>
      </c>
      <c r="G251"/>
    </row>
    <row r="252" spans="1:7" ht="18" x14ac:dyDescent="0.25">
      <c r="A252" s="13">
        <v>243</v>
      </c>
      <c r="B252" s="10" t="s">
        <v>801</v>
      </c>
      <c r="C252" t="s">
        <v>1171</v>
      </c>
      <c r="D252" s="22" t="s">
        <v>3</v>
      </c>
      <c r="E252" s="25" t="s">
        <v>802</v>
      </c>
      <c r="F252" s="40">
        <v>156.82</v>
      </c>
      <c r="G252"/>
    </row>
    <row r="253" spans="1:7" ht="18" x14ac:dyDescent="0.25">
      <c r="A253" s="13">
        <v>244</v>
      </c>
      <c r="B253" s="10" t="s">
        <v>803</v>
      </c>
      <c r="C253" t="s">
        <v>1171</v>
      </c>
      <c r="D253" s="22" t="s">
        <v>3</v>
      </c>
      <c r="E253" s="25" t="s">
        <v>804</v>
      </c>
      <c r="F253" s="40">
        <v>5</v>
      </c>
      <c r="G253"/>
    </row>
    <row r="254" spans="1:7" ht="18" x14ac:dyDescent="0.25">
      <c r="A254" s="13">
        <v>245</v>
      </c>
      <c r="B254" s="10" t="s">
        <v>805</v>
      </c>
      <c r="C254" t="s">
        <v>1172</v>
      </c>
      <c r="D254" s="22" t="s">
        <v>3</v>
      </c>
      <c r="E254" s="25" t="s">
        <v>806</v>
      </c>
      <c r="F254" s="40">
        <v>5</v>
      </c>
      <c r="G254"/>
    </row>
    <row r="255" spans="1:7" ht="18" x14ac:dyDescent="0.25">
      <c r="A255" s="13">
        <v>246</v>
      </c>
      <c r="B255" s="10" t="s">
        <v>807</v>
      </c>
      <c r="C255" t="s">
        <v>1173</v>
      </c>
      <c r="D255" s="22" t="s">
        <v>3</v>
      </c>
      <c r="E255" s="25" t="s">
        <v>808</v>
      </c>
      <c r="F255" s="40">
        <v>5</v>
      </c>
      <c r="G255"/>
    </row>
    <row r="256" spans="1:7" x14ac:dyDescent="0.25">
      <c r="A256" s="13">
        <v>247</v>
      </c>
      <c r="B256" s="10" t="s">
        <v>809</v>
      </c>
      <c r="C256" t="s">
        <v>1103</v>
      </c>
      <c r="D256" s="22" t="s">
        <v>3</v>
      </c>
      <c r="E256" s="25" t="s">
        <v>810</v>
      </c>
      <c r="F256" s="40">
        <v>41.7</v>
      </c>
      <c r="G256"/>
    </row>
    <row r="257" spans="1:6" x14ac:dyDescent="0.25">
      <c r="A257" s="13">
        <v>248</v>
      </c>
      <c r="B257" s="10" t="s">
        <v>811</v>
      </c>
      <c r="C257" t="s">
        <v>1104</v>
      </c>
      <c r="D257" s="22" t="s">
        <v>3</v>
      </c>
      <c r="E257" s="25" t="s">
        <v>812</v>
      </c>
      <c r="F257" s="40">
        <v>5</v>
      </c>
    </row>
    <row r="258" spans="1:6" x14ac:dyDescent="0.25">
      <c r="A258" s="13">
        <v>249</v>
      </c>
      <c r="B258" s="10" t="s">
        <v>813</v>
      </c>
      <c r="C258" t="s">
        <v>1105</v>
      </c>
      <c r="D258" s="22" t="s">
        <v>3</v>
      </c>
      <c r="E258" s="25" t="s">
        <v>814</v>
      </c>
      <c r="F258" s="40">
        <v>5</v>
      </c>
    </row>
    <row r="259" spans="1:6" x14ac:dyDescent="0.25">
      <c r="A259" s="13">
        <v>250</v>
      </c>
      <c r="B259" s="10" t="s">
        <v>815</v>
      </c>
      <c r="C259" t="s">
        <v>1106</v>
      </c>
      <c r="D259" s="22" t="s">
        <v>3</v>
      </c>
      <c r="E259" s="25" t="s">
        <v>816</v>
      </c>
      <c r="F259" s="40">
        <v>184</v>
      </c>
    </row>
    <row r="260" spans="1:6" x14ac:dyDescent="0.25">
      <c r="A260" s="41"/>
      <c r="B260" s="10" t="s">
        <v>1343</v>
      </c>
      <c r="C260" s="9" t="s">
        <v>1342</v>
      </c>
      <c r="D260" s="22" t="s">
        <v>3</v>
      </c>
      <c r="F260" s="40">
        <v>239</v>
      </c>
    </row>
    <row r="261" spans="1:6" x14ac:dyDescent="0.25">
      <c r="A261" s="41"/>
      <c r="B261" s="10" t="s">
        <v>1345</v>
      </c>
      <c r="C261" s="9" t="s">
        <v>1344</v>
      </c>
      <c r="D261" s="22" t="s">
        <v>3</v>
      </c>
      <c r="F261" s="40">
        <v>255</v>
      </c>
    </row>
    <row r="262" spans="1:6" x14ac:dyDescent="0.25">
      <c r="A262" s="41"/>
      <c r="B262" s="10" t="s">
        <v>1347</v>
      </c>
      <c r="C262" t="s">
        <v>1346</v>
      </c>
      <c r="D262" s="22" t="s">
        <v>3</v>
      </c>
      <c r="F262" s="40">
        <v>28</v>
      </c>
    </row>
    <row r="263" spans="1:6" x14ac:dyDescent="0.25">
      <c r="A263" s="41"/>
      <c r="B263" s="10" t="s">
        <v>1348</v>
      </c>
      <c r="C263" s="9" t="s">
        <v>1351</v>
      </c>
      <c r="D263" s="22" t="s">
        <v>3</v>
      </c>
      <c r="F263" s="40">
        <v>250</v>
      </c>
    </row>
    <row r="264" spans="1:6" x14ac:dyDescent="0.25">
      <c r="A264" s="41"/>
      <c r="B264" s="10" t="s">
        <v>1350</v>
      </c>
      <c r="C264" s="9" t="s">
        <v>1349</v>
      </c>
      <c r="D264" s="22" t="s">
        <v>3</v>
      </c>
      <c r="F264" s="40">
        <v>13</v>
      </c>
    </row>
    <row r="265" spans="1:6" x14ac:dyDescent="0.25">
      <c r="A265" s="13"/>
      <c r="B265" s="9" t="s">
        <v>1514</v>
      </c>
      <c r="C265" s="9" t="s">
        <v>1512</v>
      </c>
      <c r="D265" s="42" t="s">
        <v>3</v>
      </c>
      <c r="F265" s="40">
        <v>475000</v>
      </c>
    </row>
    <row r="266" spans="1:6" x14ac:dyDescent="0.25">
      <c r="A266" s="41"/>
      <c r="B266" s="47" t="s">
        <v>1515</v>
      </c>
      <c r="C266" s="47" t="s">
        <v>1513</v>
      </c>
      <c r="D266" s="48" t="s">
        <v>3</v>
      </c>
      <c r="E266" s="49"/>
      <c r="F266" s="50">
        <v>7000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DD98-F2C3-494A-94E6-7A83575A744D}">
  <sheetPr codeName="Hoja5"/>
  <dimension ref="A1:G256"/>
  <sheetViews>
    <sheetView topLeftCell="B71" zoomScale="190" workbookViewId="0">
      <selection activeCell="C82" sqref="C82"/>
    </sheetView>
  </sheetViews>
  <sheetFormatPr baseColWidth="10" defaultRowHeight="15" x14ac:dyDescent="0.25"/>
  <cols>
    <col min="1" max="1" width="6.5703125" style="9" customWidth="1"/>
    <col min="2" max="2" width="16.28515625" style="9" customWidth="1"/>
    <col min="3" max="3" width="75.28515625" style="9" customWidth="1"/>
    <col min="4" max="4" width="21.140625" style="23" customWidth="1"/>
    <col min="5" max="5" width="19.7109375" style="23" customWidth="1"/>
    <col min="6" max="6" width="15.85546875" style="9" customWidth="1"/>
    <col min="7" max="7" width="23.85546875" style="9" customWidth="1"/>
  </cols>
  <sheetData>
    <row r="1" spans="1:7" x14ac:dyDescent="0.25">
      <c r="A1" s="11" t="s">
        <v>10</v>
      </c>
      <c r="B1" s="24" t="s">
        <v>382</v>
      </c>
      <c r="C1" s="24" t="s">
        <v>913</v>
      </c>
      <c r="D1" s="12" t="s">
        <v>2</v>
      </c>
      <c r="E1" s="12" t="s">
        <v>444</v>
      </c>
      <c r="F1" s="38" t="s">
        <v>1337</v>
      </c>
      <c r="G1"/>
    </row>
    <row r="2" spans="1:7" x14ac:dyDescent="0.25">
      <c r="A2" s="13">
        <v>1</v>
      </c>
      <c r="B2" s="10"/>
      <c r="C2" t="s">
        <v>1352</v>
      </c>
      <c r="D2" s="22"/>
      <c r="E2" s="25"/>
      <c r="F2" s="40">
        <v>5</v>
      </c>
      <c r="G2"/>
    </row>
    <row r="3" spans="1:7" x14ac:dyDescent="0.25">
      <c r="A3" s="13">
        <v>2</v>
      </c>
      <c r="B3" s="10"/>
      <c r="C3" t="s">
        <v>1353</v>
      </c>
      <c r="D3" s="22"/>
      <c r="E3" s="25"/>
      <c r="F3" s="40">
        <v>5</v>
      </c>
      <c r="G3"/>
    </row>
    <row r="4" spans="1:7" x14ac:dyDescent="0.25">
      <c r="A4" s="13">
        <v>3</v>
      </c>
      <c r="B4" s="10"/>
      <c r="C4" t="s">
        <v>1354</v>
      </c>
      <c r="D4" s="22"/>
      <c r="E4" s="25"/>
      <c r="F4" s="40">
        <v>5</v>
      </c>
      <c r="G4"/>
    </row>
    <row r="5" spans="1:7" x14ac:dyDescent="0.25">
      <c r="A5" s="13">
        <v>4</v>
      </c>
      <c r="B5" s="10"/>
      <c r="C5" t="s">
        <v>1355</v>
      </c>
      <c r="D5" s="22"/>
      <c r="E5" s="25"/>
      <c r="F5" s="40">
        <v>12</v>
      </c>
      <c r="G5"/>
    </row>
    <row r="6" spans="1:7" x14ac:dyDescent="0.25">
      <c r="A6" s="13">
        <v>5</v>
      </c>
      <c r="B6" s="10"/>
      <c r="C6" t="s">
        <v>1356</v>
      </c>
      <c r="D6" s="22"/>
      <c r="E6" s="25"/>
      <c r="F6" s="40">
        <v>5</v>
      </c>
      <c r="G6"/>
    </row>
    <row r="7" spans="1:7" x14ac:dyDescent="0.25">
      <c r="A7" s="13">
        <v>6</v>
      </c>
      <c r="B7" s="10"/>
      <c r="C7" t="s">
        <v>1357</v>
      </c>
      <c r="D7" s="22"/>
      <c r="E7" s="25"/>
      <c r="F7" s="40">
        <v>290</v>
      </c>
      <c r="G7"/>
    </row>
    <row r="8" spans="1:7" x14ac:dyDescent="0.25">
      <c r="A8" s="13">
        <v>7</v>
      </c>
      <c r="B8" s="35"/>
      <c r="C8" t="s">
        <v>1358</v>
      </c>
      <c r="D8" s="22"/>
      <c r="E8" s="25"/>
      <c r="F8" s="40">
        <v>119</v>
      </c>
      <c r="G8"/>
    </row>
    <row r="9" spans="1:7" x14ac:dyDescent="0.25">
      <c r="A9" s="13">
        <v>8</v>
      </c>
      <c r="B9" s="10"/>
      <c r="C9" t="s">
        <v>1359</v>
      </c>
      <c r="D9" s="22"/>
      <c r="E9" s="25"/>
      <c r="F9" s="40">
        <v>5</v>
      </c>
      <c r="G9"/>
    </row>
    <row r="10" spans="1:7" x14ac:dyDescent="0.25">
      <c r="A10" s="13">
        <v>9</v>
      </c>
      <c r="B10" s="36"/>
      <c r="C10" t="s">
        <v>1360</v>
      </c>
      <c r="D10" s="22"/>
      <c r="E10" s="26"/>
      <c r="F10" s="40">
        <v>5</v>
      </c>
      <c r="G10"/>
    </row>
    <row r="11" spans="1:7" x14ac:dyDescent="0.25">
      <c r="A11" s="13">
        <v>10</v>
      </c>
      <c r="B11" s="36"/>
      <c r="C11" t="s">
        <v>1361</v>
      </c>
      <c r="D11" s="22"/>
      <c r="E11" s="26"/>
      <c r="F11" s="40">
        <v>5</v>
      </c>
      <c r="G11"/>
    </row>
    <row r="12" spans="1:7" x14ac:dyDescent="0.25">
      <c r="A12" s="13">
        <v>11</v>
      </c>
      <c r="B12" s="36"/>
      <c r="C12" t="s">
        <v>1362</v>
      </c>
      <c r="D12" s="22"/>
      <c r="E12" s="26"/>
      <c r="F12" s="40">
        <v>35</v>
      </c>
      <c r="G12"/>
    </row>
    <row r="13" spans="1:7" x14ac:dyDescent="0.25">
      <c r="A13" s="13">
        <v>12</v>
      </c>
      <c r="B13" s="10"/>
      <c r="C13" t="s">
        <v>1363</v>
      </c>
      <c r="D13" s="22"/>
      <c r="E13" s="25"/>
      <c r="F13" s="40">
        <v>5</v>
      </c>
      <c r="G13"/>
    </row>
    <row r="14" spans="1:7" x14ac:dyDescent="0.25">
      <c r="A14" s="13">
        <v>13</v>
      </c>
      <c r="B14" s="10"/>
      <c r="C14" t="s">
        <v>1364</v>
      </c>
      <c r="D14" s="22"/>
      <c r="E14" s="25"/>
      <c r="F14" s="40">
        <v>5</v>
      </c>
      <c r="G14"/>
    </row>
    <row r="15" spans="1:7" x14ac:dyDescent="0.25">
      <c r="A15" s="13">
        <v>14</v>
      </c>
      <c r="B15" s="10"/>
      <c r="C15" t="s">
        <v>1365</v>
      </c>
      <c r="D15" s="22"/>
      <c r="E15" s="25"/>
      <c r="F15" s="40">
        <v>5</v>
      </c>
      <c r="G15"/>
    </row>
    <row r="16" spans="1:7" x14ac:dyDescent="0.25">
      <c r="A16" s="13">
        <v>15</v>
      </c>
      <c r="B16" s="10"/>
      <c r="C16" t="s">
        <v>1366</v>
      </c>
      <c r="D16" s="22"/>
      <c r="E16" s="25"/>
      <c r="F16" s="40">
        <v>5</v>
      </c>
      <c r="G16"/>
    </row>
    <row r="17" spans="1:7" x14ac:dyDescent="0.25">
      <c r="A17" s="13">
        <v>16</v>
      </c>
      <c r="B17" s="10"/>
      <c r="C17" t="s">
        <v>1367</v>
      </c>
      <c r="D17" s="22"/>
      <c r="E17" s="25"/>
      <c r="F17" s="40">
        <v>5</v>
      </c>
      <c r="G17"/>
    </row>
    <row r="18" spans="1:7" x14ac:dyDescent="0.25">
      <c r="A18" s="13">
        <v>17</v>
      </c>
      <c r="B18" s="10"/>
      <c r="C18" t="s">
        <v>1368</v>
      </c>
      <c r="D18" s="22"/>
      <c r="E18" s="25"/>
      <c r="F18" s="40">
        <v>5</v>
      </c>
      <c r="G18"/>
    </row>
    <row r="19" spans="1:7" x14ac:dyDescent="0.25">
      <c r="A19" s="13">
        <v>18</v>
      </c>
      <c r="B19" s="10"/>
      <c r="C19" t="s">
        <v>1369</v>
      </c>
      <c r="D19" s="22"/>
      <c r="E19" s="25"/>
      <c r="F19" s="40">
        <v>5</v>
      </c>
      <c r="G19"/>
    </row>
    <row r="20" spans="1:7" x14ac:dyDescent="0.25">
      <c r="A20" s="13">
        <v>19</v>
      </c>
      <c r="B20" s="10"/>
      <c r="C20" t="s">
        <v>1370</v>
      </c>
      <c r="D20" s="22"/>
      <c r="E20" s="25"/>
      <c r="F20" s="40">
        <v>5</v>
      </c>
      <c r="G20"/>
    </row>
    <row r="21" spans="1:7" x14ac:dyDescent="0.25">
      <c r="A21" s="13">
        <v>20</v>
      </c>
      <c r="B21" s="10"/>
      <c r="C21" t="s">
        <v>1371</v>
      </c>
      <c r="D21" s="22"/>
      <c r="E21" s="25"/>
      <c r="F21" s="40">
        <v>3.85</v>
      </c>
      <c r="G21"/>
    </row>
    <row r="22" spans="1:7" x14ac:dyDescent="0.25">
      <c r="A22" s="13">
        <v>21</v>
      </c>
      <c r="B22" s="10"/>
      <c r="C22" t="s">
        <v>1372</v>
      </c>
      <c r="D22" s="22"/>
      <c r="E22" s="25"/>
      <c r="F22" s="40">
        <v>4.95</v>
      </c>
      <c r="G22"/>
    </row>
    <row r="23" spans="1:7" x14ac:dyDescent="0.25">
      <c r="A23" s="13">
        <v>22</v>
      </c>
      <c r="B23" s="10"/>
      <c r="C23" t="s">
        <v>1373</v>
      </c>
      <c r="D23" s="22"/>
      <c r="E23" s="25"/>
      <c r="F23" s="40">
        <v>5</v>
      </c>
      <c r="G23"/>
    </row>
    <row r="24" spans="1:7" x14ac:dyDescent="0.25">
      <c r="A24" s="13">
        <v>23</v>
      </c>
      <c r="B24" s="10"/>
      <c r="C24" t="s">
        <v>1374</v>
      </c>
      <c r="D24" s="22"/>
      <c r="E24" s="25"/>
      <c r="F24" s="40">
        <v>42</v>
      </c>
      <c r="G24"/>
    </row>
    <row r="25" spans="1:7" x14ac:dyDescent="0.25">
      <c r="A25" s="13">
        <v>24</v>
      </c>
      <c r="B25" s="10"/>
      <c r="C25" t="s">
        <v>1375</v>
      </c>
      <c r="D25" s="22"/>
      <c r="E25" s="25"/>
      <c r="F25" s="40">
        <v>5</v>
      </c>
      <c r="G25"/>
    </row>
    <row r="26" spans="1:7" x14ac:dyDescent="0.25">
      <c r="A26" s="13">
        <v>25</v>
      </c>
      <c r="B26" s="10"/>
      <c r="C26" t="s">
        <v>1376</v>
      </c>
      <c r="D26" s="22"/>
      <c r="E26" s="25"/>
      <c r="F26" s="40">
        <v>256</v>
      </c>
      <c r="G26"/>
    </row>
    <row r="27" spans="1:7" x14ac:dyDescent="0.25">
      <c r="A27" s="13">
        <v>26</v>
      </c>
      <c r="B27" s="36"/>
      <c r="C27" t="s">
        <v>1377</v>
      </c>
      <c r="D27" s="22"/>
      <c r="E27" s="25"/>
      <c r="F27" s="40">
        <v>5</v>
      </c>
      <c r="G27"/>
    </row>
    <row r="28" spans="1:7" x14ac:dyDescent="0.25">
      <c r="A28" s="13">
        <v>27</v>
      </c>
      <c r="B28" s="36"/>
      <c r="C28" t="s">
        <v>1378</v>
      </c>
      <c r="D28" s="22"/>
      <c r="E28" s="25"/>
      <c r="F28" s="40">
        <v>5</v>
      </c>
      <c r="G28"/>
    </row>
    <row r="29" spans="1:7" x14ac:dyDescent="0.25">
      <c r="A29" s="13">
        <v>28</v>
      </c>
      <c r="B29" s="36"/>
      <c r="C29" t="s">
        <v>1379</v>
      </c>
      <c r="D29" s="22"/>
      <c r="E29" s="25"/>
      <c r="F29" s="40">
        <v>5</v>
      </c>
      <c r="G29"/>
    </row>
    <row r="30" spans="1:7" x14ac:dyDescent="0.25">
      <c r="A30" s="13">
        <v>29</v>
      </c>
      <c r="B30" s="36"/>
      <c r="C30" t="s">
        <v>1380</v>
      </c>
      <c r="D30" s="22"/>
      <c r="E30" s="25"/>
      <c r="F30" s="40">
        <v>5</v>
      </c>
      <c r="G30"/>
    </row>
    <row r="31" spans="1:7" x14ac:dyDescent="0.25">
      <c r="A31" s="13">
        <v>30</v>
      </c>
      <c r="B31" s="36"/>
      <c r="C31" t="s">
        <v>1381</v>
      </c>
      <c r="D31" s="22"/>
      <c r="E31" s="28"/>
      <c r="F31" s="40">
        <v>207.48</v>
      </c>
      <c r="G31"/>
    </row>
    <row r="32" spans="1:7" x14ac:dyDescent="0.25">
      <c r="A32" s="13">
        <v>31</v>
      </c>
      <c r="B32" s="36"/>
      <c r="C32" t="s">
        <v>1382</v>
      </c>
      <c r="D32" s="22"/>
      <c r="E32" s="28"/>
      <c r="F32" s="40">
        <v>300</v>
      </c>
      <c r="G32"/>
    </row>
    <row r="33" spans="1:7" x14ac:dyDescent="0.25">
      <c r="A33" s="13">
        <v>32</v>
      </c>
      <c r="B33" s="36"/>
      <c r="C33" t="s">
        <v>1383</v>
      </c>
      <c r="D33" s="22"/>
      <c r="E33" s="28"/>
      <c r="F33" s="40">
        <v>5</v>
      </c>
      <c r="G33"/>
    </row>
    <row r="34" spans="1:7" x14ac:dyDescent="0.25">
      <c r="A34" s="13">
        <v>33</v>
      </c>
      <c r="B34" s="10"/>
      <c r="C34" t="s">
        <v>1384</v>
      </c>
      <c r="D34" s="22"/>
      <c r="E34" s="25"/>
      <c r="F34" s="40">
        <v>5</v>
      </c>
      <c r="G34"/>
    </row>
    <row r="35" spans="1:7" x14ac:dyDescent="0.25">
      <c r="A35" s="13">
        <v>34</v>
      </c>
      <c r="B35" s="10"/>
      <c r="C35" t="s">
        <v>1385</v>
      </c>
      <c r="D35" s="22"/>
      <c r="E35" s="25"/>
      <c r="F35" s="40">
        <v>5</v>
      </c>
      <c r="G35"/>
    </row>
    <row r="36" spans="1:7" x14ac:dyDescent="0.25">
      <c r="A36" s="13">
        <v>35</v>
      </c>
      <c r="B36" s="10"/>
      <c r="C36" t="s">
        <v>1386</v>
      </c>
      <c r="D36" s="22"/>
      <c r="E36" s="25"/>
      <c r="F36" s="40">
        <v>5</v>
      </c>
      <c r="G36"/>
    </row>
    <row r="37" spans="1:7" x14ac:dyDescent="0.25">
      <c r="A37" s="13">
        <v>36</v>
      </c>
      <c r="B37" s="10"/>
      <c r="C37" t="s">
        <v>1387</v>
      </c>
      <c r="D37" s="22"/>
      <c r="E37" s="25"/>
      <c r="F37" s="40">
        <v>5</v>
      </c>
      <c r="G37"/>
    </row>
    <row r="38" spans="1:7" x14ac:dyDescent="0.25">
      <c r="A38" s="13">
        <v>37</v>
      </c>
      <c r="B38" s="10"/>
      <c r="C38" t="s">
        <v>1388</v>
      </c>
      <c r="D38" s="22"/>
      <c r="E38" s="25"/>
      <c r="F38" s="40">
        <v>5</v>
      </c>
      <c r="G38"/>
    </row>
    <row r="39" spans="1:7" x14ac:dyDescent="0.25">
      <c r="A39" s="13">
        <v>38</v>
      </c>
      <c r="B39" s="10"/>
      <c r="C39" t="s">
        <v>1389</v>
      </c>
      <c r="D39" s="22"/>
      <c r="E39" s="25"/>
      <c r="F39" s="40">
        <v>5</v>
      </c>
      <c r="G39"/>
    </row>
    <row r="40" spans="1:7" x14ac:dyDescent="0.25">
      <c r="A40" s="13">
        <v>39</v>
      </c>
      <c r="B40" s="10"/>
      <c r="C40" t="s">
        <v>1390</v>
      </c>
      <c r="D40" s="22"/>
      <c r="E40" s="25"/>
      <c r="F40" s="40">
        <v>5</v>
      </c>
      <c r="G40"/>
    </row>
    <row r="41" spans="1:7" x14ac:dyDescent="0.25">
      <c r="A41" s="13">
        <v>40</v>
      </c>
      <c r="B41" s="10"/>
      <c r="C41" t="s">
        <v>1391</v>
      </c>
      <c r="D41" s="22"/>
      <c r="E41" s="25"/>
      <c r="F41" s="40">
        <v>3.72</v>
      </c>
      <c r="G41"/>
    </row>
    <row r="42" spans="1:7" x14ac:dyDescent="0.25">
      <c r="A42" s="13">
        <v>41</v>
      </c>
      <c r="B42" s="10"/>
      <c r="C42" t="s">
        <v>1392</v>
      </c>
      <c r="D42" s="22"/>
      <c r="E42" s="25"/>
      <c r="F42" s="40">
        <v>5</v>
      </c>
      <c r="G42"/>
    </row>
    <row r="43" spans="1:7" x14ac:dyDescent="0.25">
      <c r="A43" s="13">
        <v>42</v>
      </c>
      <c r="B43" s="10"/>
      <c r="C43" t="s">
        <v>1393</v>
      </c>
      <c r="D43" s="22"/>
      <c r="E43" s="25"/>
      <c r="F43" s="40">
        <v>5</v>
      </c>
      <c r="G43"/>
    </row>
    <row r="44" spans="1:7" x14ac:dyDescent="0.25">
      <c r="A44" s="13">
        <v>43</v>
      </c>
      <c r="B44" s="10"/>
      <c r="C44" t="s">
        <v>1394</v>
      </c>
      <c r="D44" s="22"/>
      <c r="E44" s="25"/>
      <c r="F44" s="40">
        <v>5</v>
      </c>
      <c r="G44"/>
    </row>
    <row r="45" spans="1:7" x14ac:dyDescent="0.25">
      <c r="A45" s="13">
        <v>44</v>
      </c>
      <c r="B45" s="10"/>
      <c r="C45" t="s">
        <v>1395</v>
      </c>
      <c r="D45" s="22"/>
      <c r="E45" s="25"/>
      <c r="F45" s="40">
        <v>55</v>
      </c>
      <c r="G45"/>
    </row>
    <row r="46" spans="1:7" x14ac:dyDescent="0.25">
      <c r="A46" s="13">
        <v>45</v>
      </c>
      <c r="B46" s="10"/>
      <c r="C46" t="s">
        <v>1396</v>
      </c>
      <c r="D46" s="22"/>
      <c r="E46" s="25"/>
      <c r="F46" s="40">
        <v>81</v>
      </c>
      <c r="G46"/>
    </row>
    <row r="47" spans="1:7" x14ac:dyDescent="0.25">
      <c r="A47" s="13">
        <v>46</v>
      </c>
      <c r="B47" s="10"/>
      <c r="C47" t="s">
        <v>1397</v>
      </c>
      <c r="D47" s="22"/>
      <c r="E47" s="25"/>
      <c r="F47" s="40">
        <v>5.23</v>
      </c>
      <c r="G47"/>
    </row>
    <row r="48" spans="1:7" x14ac:dyDescent="0.25">
      <c r="A48" s="13">
        <v>47</v>
      </c>
      <c r="B48" s="10"/>
      <c r="C48" t="s">
        <v>1398</v>
      </c>
      <c r="D48" s="22"/>
      <c r="E48" s="25"/>
      <c r="F48" s="40">
        <v>5.64</v>
      </c>
      <c r="G48"/>
    </row>
    <row r="49" spans="1:7" x14ac:dyDescent="0.25">
      <c r="A49" s="13">
        <v>48</v>
      </c>
      <c r="B49" s="10"/>
      <c r="C49" t="s">
        <v>1399</v>
      </c>
      <c r="D49" s="22"/>
      <c r="E49" s="25"/>
      <c r="F49" s="40">
        <v>8.76</v>
      </c>
      <c r="G49"/>
    </row>
    <row r="50" spans="1:7" x14ac:dyDescent="0.25">
      <c r="A50" s="13">
        <v>49</v>
      </c>
      <c r="B50" s="10"/>
      <c r="C50" t="s">
        <v>1400</v>
      </c>
      <c r="D50" s="22"/>
      <c r="E50" s="25"/>
      <c r="F50" s="40">
        <v>5</v>
      </c>
      <c r="G50"/>
    </row>
    <row r="51" spans="1:7" x14ac:dyDescent="0.25">
      <c r="A51" s="13">
        <v>50</v>
      </c>
      <c r="B51" s="10"/>
      <c r="C51" t="s">
        <v>1401</v>
      </c>
      <c r="D51" s="22"/>
      <c r="E51" s="25"/>
      <c r="F51" s="40">
        <v>5</v>
      </c>
      <c r="G51"/>
    </row>
    <row r="52" spans="1:7" x14ac:dyDescent="0.25">
      <c r="A52" s="13">
        <v>51</v>
      </c>
      <c r="B52" s="10"/>
      <c r="C52" t="s">
        <v>1402</v>
      </c>
      <c r="D52" s="22"/>
      <c r="E52" s="25"/>
      <c r="F52" s="40">
        <v>5</v>
      </c>
      <c r="G52"/>
    </row>
    <row r="53" spans="1:7" x14ac:dyDescent="0.25">
      <c r="A53" s="13">
        <v>52</v>
      </c>
      <c r="B53" s="10"/>
      <c r="C53" t="s">
        <v>1403</v>
      </c>
      <c r="D53" s="22"/>
      <c r="E53" s="25"/>
      <c r="F53" s="40">
        <v>5</v>
      </c>
      <c r="G53"/>
    </row>
    <row r="54" spans="1:7" x14ac:dyDescent="0.25">
      <c r="A54" s="13">
        <v>53</v>
      </c>
      <c r="B54" s="10"/>
      <c r="C54" t="s">
        <v>1404</v>
      </c>
      <c r="D54" s="22"/>
      <c r="E54" s="25"/>
      <c r="F54" s="40">
        <v>5</v>
      </c>
      <c r="G54"/>
    </row>
    <row r="55" spans="1:7" x14ac:dyDescent="0.25">
      <c r="A55" s="13">
        <v>54</v>
      </c>
      <c r="B55" s="10"/>
      <c r="C55" t="s">
        <v>1405</v>
      </c>
      <c r="D55" s="22"/>
      <c r="E55" s="25"/>
      <c r="F55" s="40">
        <v>5</v>
      </c>
      <c r="G55"/>
    </row>
    <row r="56" spans="1:7" x14ac:dyDescent="0.25">
      <c r="A56" s="13">
        <v>55</v>
      </c>
      <c r="B56" s="10"/>
      <c r="C56" t="s">
        <v>1406</v>
      </c>
      <c r="D56" s="22"/>
      <c r="E56" s="25"/>
      <c r="F56" s="40">
        <v>5</v>
      </c>
      <c r="G56"/>
    </row>
    <row r="57" spans="1:7" x14ac:dyDescent="0.25">
      <c r="A57" s="13">
        <v>56</v>
      </c>
      <c r="B57" s="10"/>
      <c r="C57" t="s">
        <v>1407</v>
      </c>
      <c r="D57" s="22"/>
      <c r="E57" s="25"/>
      <c r="F57" s="40">
        <v>5</v>
      </c>
      <c r="G57"/>
    </row>
    <row r="58" spans="1:7" x14ac:dyDescent="0.25">
      <c r="A58" s="13">
        <v>57</v>
      </c>
      <c r="B58" s="10"/>
      <c r="C58" t="s">
        <v>1408</v>
      </c>
      <c r="D58" s="22"/>
      <c r="E58" s="25"/>
      <c r="F58" s="40">
        <v>3.08</v>
      </c>
      <c r="G58"/>
    </row>
    <row r="59" spans="1:7" x14ac:dyDescent="0.25">
      <c r="A59" s="13">
        <v>58</v>
      </c>
      <c r="B59" s="10"/>
      <c r="C59" t="s">
        <v>1409</v>
      </c>
      <c r="D59" s="22"/>
      <c r="E59" s="25"/>
      <c r="F59" s="40">
        <v>5</v>
      </c>
      <c r="G59"/>
    </row>
    <row r="60" spans="1:7" x14ac:dyDescent="0.25">
      <c r="A60" s="13">
        <v>59</v>
      </c>
      <c r="B60" s="10"/>
      <c r="C60" t="s">
        <v>1410</v>
      </c>
      <c r="D60" s="22"/>
      <c r="E60" s="25"/>
      <c r="F60" s="40">
        <v>5</v>
      </c>
      <c r="G60"/>
    </row>
    <row r="61" spans="1:7" x14ac:dyDescent="0.25">
      <c r="A61" s="13">
        <v>60</v>
      </c>
      <c r="B61" s="10"/>
      <c r="C61" t="s">
        <v>1411</v>
      </c>
      <c r="D61" s="22"/>
      <c r="E61" s="25"/>
      <c r="F61" s="40">
        <v>5</v>
      </c>
      <c r="G61"/>
    </row>
    <row r="62" spans="1:7" x14ac:dyDescent="0.25">
      <c r="A62" s="13">
        <v>61</v>
      </c>
      <c r="B62" s="10"/>
      <c r="C62" t="s">
        <v>1412</v>
      </c>
      <c r="D62" s="22"/>
      <c r="E62" s="25"/>
      <c r="F62" s="40">
        <v>20.399999999999999</v>
      </c>
      <c r="G62"/>
    </row>
    <row r="63" spans="1:7" x14ac:dyDescent="0.25">
      <c r="A63" s="13">
        <v>62</v>
      </c>
      <c r="B63" s="36"/>
      <c r="C63" t="s">
        <v>1413</v>
      </c>
      <c r="D63" s="22"/>
      <c r="E63" s="27"/>
      <c r="F63" s="40">
        <v>660.1</v>
      </c>
      <c r="G63"/>
    </row>
    <row r="64" spans="1:7" x14ac:dyDescent="0.25">
      <c r="A64" s="13">
        <v>63</v>
      </c>
      <c r="B64" s="36"/>
      <c r="C64" t="s">
        <v>1414</v>
      </c>
      <c r="D64" s="22"/>
      <c r="E64" s="27"/>
      <c r="F64" s="40">
        <v>5</v>
      </c>
      <c r="G64"/>
    </row>
    <row r="65" spans="1:7" x14ac:dyDescent="0.25">
      <c r="A65" s="13">
        <v>64</v>
      </c>
      <c r="B65" s="36"/>
      <c r="C65" t="s">
        <v>1415</v>
      </c>
      <c r="D65" s="22"/>
      <c r="E65" s="27"/>
      <c r="F65" s="40">
        <v>5</v>
      </c>
      <c r="G65"/>
    </row>
    <row r="66" spans="1:7" x14ac:dyDescent="0.25">
      <c r="A66" s="13">
        <v>65</v>
      </c>
      <c r="B66" s="10"/>
      <c r="C66" t="s">
        <v>1416</v>
      </c>
      <c r="D66" s="22"/>
      <c r="E66" s="26"/>
      <c r="F66" s="40">
        <v>165.75</v>
      </c>
      <c r="G66"/>
    </row>
    <row r="67" spans="1:7" x14ac:dyDescent="0.25">
      <c r="A67" s="13">
        <v>66</v>
      </c>
      <c r="B67" s="10"/>
      <c r="C67" t="s">
        <v>1417</v>
      </c>
      <c r="D67" s="22"/>
      <c r="E67" s="25"/>
      <c r="F67" s="40">
        <v>5</v>
      </c>
      <c r="G67"/>
    </row>
    <row r="68" spans="1:7" x14ac:dyDescent="0.25">
      <c r="A68" s="13">
        <v>67</v>
      </c>
      <c r="B68" s="10"/>
      <c r="C68" t="s">
        <v>1418</v>
      </c>
      <c r="D68" s="22"/>
      <c r="E68" s="25"/>
      <c r="F68" s="40">
        <v>5</v>
      </c>
      <c r="G68"/>
    </row>
    <row r="69" spans="1:7" x14ac:dyDescent="0.25">
      <c r="A69" s="13">
        <v>68</v>
      </c>
      <c r="B69" s="10"/>
      <c r="C69" t="s">
        <v>1419</v>
      </c>
      <c r="D69" s="22"/>
      <c r="E69" s="25"/>
      <c r="F69" s="40">
        <v>5</v>
      </c>
      <c r="G69"/>
    </row>
    <row r="70" spans="1:7" x14ac:dyDescent="0.25">
      <c r="A70" s="13">
        <v>69</v>
      </c>
      <c r="B70" s="10"/>
      <c r="C70" t="s">
        <v>1420</v>
      </c>
      <c r="D70" s="22"/>
      <c r="E70" s="27"/>
      <c r="F70" s="40">
        <v>5</v>
      </c>
      <c r="G70"/>
    </row>
    <row r="71" spans="1:7" x14ac:dyDescent="0.25">
      <c r="A71" s="13">
        <v>70</v>
      </c>
      <c r="B71" s="10"/>
      <c r="C71" t="s">
        <v>1421</v>
      </c>
      <c r="D71" s="22"/>
      <c r="E71" s="25"/>
      <c r="F71" s="40">
        <v>5</v>
      </c>
      <c r="G71"/>
    </row>
    <row r="72" spans="1:7" x14ac:dyDescent="0.25">
      <c r="A72" s="13">
        <v>71</v>
      </c>
      <c r="B72" s="10"/>
      <c r="C72" t="s">
        <v>1422</v>
      </c>
      <c r="D72" s="22"/>
      <c r="E72" s="25"/>
      <c r="F72" s="40">
        <v>15</v>
      </c>
      <c r="G72"/>
    </row>
    <row r="73" spans="1:7" x14ac:dyDescent="0.25">
      <c r="A73" s="13">
        <v>72</v>
      </c>
      <c r="B73" s="10"/>
      <c r="C73" t="s">
        <v>1423</v>
      </c>
      <c r="D73" s="22"/>
      <c r="E73" s="25"/>
      <c r="F73" s="40">
        <v>5</v>
      </c>
      <c r="G73"/>
    </row>
    <row r="74" spans="1:7" x14ac:dyDescent="0.25">
      <c r="A74" s="13">
        <v>73</v>
      </c>
      <c r="B74" s="10"/>
      <c r="C74" t="s">
        <v>1424</v>
      </c>
      <c r="D74" s="22"/>
      <c r="E74" s="25"/>
      <c r="F74" s="40">
        <v>12</v>
      </c>
      <c r="G74"/>
    </row>
    <row r="75" spans="1:7" x14ac:dyDescent="0.25">
      <c r="A75" s="13">
        <v>74</v>
      </c>
      <c r="B75" s="10"/>
      <c r="C75" t="s">
        <v>1425</v>
      </c>
      <c r="D75" s="22"/>
      <c r="E75" s="25"/>
      <c r="F75" s="40">
        <v>15</v>
      </c>
      <c r="G75"/>
    </row>
    <row r="76" spans="1:7" x14ac:dyDescent="0.25">
      <c r="A76" s="13">
        <v>75</v>
      </c>
      <c r="B76" s="10"/>
      <c r="C76" t="s">
        <v>1426</v>
      </c>
      <c r="D76" s="22"/>
      <c r="E76" s="25"/>
      <c r="F76" s="40">
        <v>5</v>
      </c>
      <c r="G76"/>
    </row>
    <row r="77" spans="1:7" x14ac:dyDescent="0.25">
      <c r="A77" s="13">
        <v>76</v>
      </c>
      <c r="B77" s="10"/>
      <c r="C77" t="s">
        <v>1427</v>
      </c>
      <c r="D77" s="22"/>
      <c r="E77" s="25"/>
      <c r="F77" s="40">
        <v>5</v>
      </c>
      <c r="G77"/>
    </row>
    <row r="78" spans="1:7" x14ac:dyDescent="0.25">
      <c r="A78" s="13">
        <v>77</v>
      </c>
      <c r="B78" s="10"/>
      <c r="C78" t="s">
        <v>1428</v>
      </c>
      <c r="D78" s="22"/>
      <c r="E78" s="25"/>
      <c r="F78" s="40">
        <v>25</v>
      </c>
      <c r="G78"/>
    </row>
    <row r="79" spans="1:7" x14ac:dyDescent="0.25">
      <c r="A79" s="13">
        <v>78</v>
      </c>
      <c r="B79" s="10"/>
      <c r="C79" t="s">
        <v>1429</v>
      </c>
      <c r="D79" s="22"/>
      <c r="E79" s="25"/>
      <c r="F79" s="40">
        <v>25</v>
      </c>
      <c r="G79"/>
    </row>
    <row r="80" spans="1:7" x14ac:dyDescent="0.25">
      <c r="A80" s="13">
        <v>79</v>
      </c>
      <c r="B80" s="10"/>
      <c r="C80" t="s">
        <v>1430</v>
      </c>
      <c r="D80" s="22"/>
      <c r="E80" s="25"/>
      <c r="F80" s="40">
        <v>5</v>
      </c>
      <c r="G80"/>
    </row>
    <row r="81" spans="1:7" x14ac:dyDescent="0.25">
      <c r="A81" s="13">
        <v>80</v>
      </c>
      <c r="B81" s="10"/>
      <c r="C81" t="s">
        <v>1431</v>
      </c>
      <c r="D81" s="22"/>
      <c r="E81" s="25"/>
      <c r="F81" s="40">
        <v>5</v>
      </c>
      <c r="G81"/>
    </row>
    <row r="82" spans="1:7" x14ac:dyDescent="0.25">
      <c r="A82" s="13">
        <v>81</v>
      </c>
      <c r="B82" s="10"/>
      <c r="C82"/>
      <c r="D82" s="22"/>
      <c r="E82" s="25"/>
      <c r="F82" s="40">
        <v>5</v>
      </c>
      <c r="G82"/>
    </row>
    <row r="83" spans="1:7" x14ac:dyDescent="0.25">
      <c r="A83" s="13">
        <v>82</v>
      </c>
      <c r="B83" s="10"/>
      <c r="C83"/>
      <c r="D83" s="22"/>
      <c r="E83" s="25"/>
      <c r="F83" s="40">
        <v>5</v>
      </c>
      <c r="G83"/>
    </row>
    <row r="84" spans="1:7" x14ac:dyDescent="0.25">
      <c r="A84" s="13">
        <v>83</v>
      </c>
      <c r="B84" s="10"/>
      <c r="C84"/>
      <c r="D84" s="22"/>
      <c r="E84" s="25"/>
      <c r="F84" s="40">
        <v>5</v>
      </c>
      <c r="G84"/>
    </row>
    <row r="85" spans="1:7" x14ac:dyDescent="0.25">
      <c r="A85" s="13">
        <v>84</v>
      </c>
      <c r="B85" s="10"/>
      <c r="C85"/>
      <c r="D85" s="22"/>
      <c r="E85" s="25"/>
      <c r="F85" s="40">
        <v>5</v>
      </c>
      <c r="G85"/>
    </row>
    <row r="86" spans="1:7" x14ac:dyDescent="0.25">
      <c r="A86" s="13">
        <v>85</v>
      </c>
      <c r="B86" s="10"/>
      <c r="C86"/>
      <c r="D86" s="22"/>
      <c r="E86" s="25"/>
      <c r="F86" s="40">
        <v>5</v>
      </c>
      <c r="G86"/>
    </row>
    <row r="87" spans="1:7" x14ac:dyDescent="0.25">
      <c r="A87" s="13">
        <v>86</v>
      </c>
      <c r="B87" s="10"/>
      <c r="C87"/>
      <c r="D87" s="22"/>
      <c r="E87" s="25"/>
      <c r="F87" s="40">
        <v>5</v>
      </c>
      <c r="G87"/>
    </row>
    <row r="88" spans="1:7" x14ac:dyDescent="0.25">
      <c r="A88" s="13">
        <v>87</v>
      </c>
      <c r="B88" s="10"/>
      <c r="C88"/>
      <c r="D88" s="22"/>
      <c r="E88" s="25"/>
      <c r="F88" s="40">
        <v>8.5</v>
      </c>
      <c r="G88"/>
    </row>
    <row r="89" spans="1:7" x14ac:dyDescent="0.25">
      <c r="A89" s="13">
        <v>88</v>
      </c>
      <c r="B89" s="36"/>
      <c r="C89"/>
      <c r="D89" s="22"/>
      <c r="E89" s="25"/>
      <c r="F89" s="40">
        <v>5</v>
      </c>
      <c r="G89"/>
    </row>
    <row r="90" spans="1:7" x14ac:dyDescent="0.25">
      <c r="A90" s="13">
        <v>89</v>
      </c>
      <c r="B90" s="10"/>
      <c r="C90"/>
      <c r="D90" s="22"/>
      <c r="E90" s="25"/>
      <c r="F90" s="40">
        <v>5</v>
      </c>
      <c r="G90"/>
    </row>
    <row r="91" spans="1:7" x14ac:dyDescent="0.25">
      <c r="A91" s="13">
        <v>90</v>
      </c>
      <c r="B91" s="10"/>
      <c r="C91"/>
      <c r="D91" s="22"/>
      <c r="E91" s="25"/>
      <c r="F91" s="40">
        <v>11</v>
      </c>
      <c r="G91"/>
    </row>
    <row r="92" spans="1:7" x14ac:dyDescent="0.25">
      <c r="A92" s="13">
        <v>91</v>
      </c>
      <c r="B92" s="10"/>
      <c r="C92"/>
      <c r="D92" s="22"/>
      <c r="E92" s="25"/>
      <c r="F92" s="40">
        <v>15</v>
      </c>
      <c r="G92"/>
    </row>
    <row r="93" spans="1:7" x14ac:dyDescent="0.25">
      <c r="A93" s="13">
        <v>92</v>
      </c>
      <c r="B93" s="10"/>
      <c r="C93"/>
      <c r="D93" s="22"/>
      <c r="E93" s="25"/>
      <c r="F93" s="40">
        <v>5</v>
      </c>
      <c r="G93"/>
    </row>
    <row r="94" spans="1:7" x14ac:dyDescent="0.25">
      <c r="A94" s="13">
        <v>93</v>
      </c>
      <c r="B94" s="10"/>
      <c r="C94"/>
      <c r="D94" s="22"/>
      <c r="E94" s="25"/>
      <c r="F94" s="40">
        <v>255</v>
      </c>
      <c r="G94"/>
    </row>
    <row r="95" spans="1:7" x14ac:dyDescent="0.25">
      <c r="A95" s="13">
        <v>94</v>
      </c>
      <c r="B95" s="10"/>
      <c r="C95"/>
      <c r="D95" s="22"/>
      <c r="E95" s="25"/>
      <c r="F95" s="40">
        <v>305</v>
      </c>
      <c r="G95"/>
    </row>
    <row r="96" spans="1:7" x14ac:dyDescent="0.25">
      <c r="A96" s="13">
        <v>95</v>
      </c>
      <c r="B96" s="10"/>
      <c r="C96"/>
      <c r="D96" s="22"/>
      <c r="E96" s="25"/>
      <c r="F96" s="40">
        <v>5</v>
      </c>
      <c r="G96"/>
    </row>
    <row r="97" spans="1:7" x14ac:dyDescent="0.25">
      <c r="A97" s="13">
        <v>96</v>
      </c>
      <c r="B97" s="10"/>
      <c r="C97"/>
      <c r="D97" s="22"/>
      <c r="E97" s="25"/>
      <c r="F97" s="40">
        <v>5</v>
      </c>
      <c r="G97"/>
    </row>
    <row r="98" spans="1:7" x14ac:dyDescent="0.25">
      <c r="A98" s="13">
        <v>97</v>
      </c>
      <c r="B98" s="10"/>
      <c r="C98"/>
      <c r="D98" s="22"/>
      <c r="E98" s="25"/>
      <c r="F98" s="40">
        <v>167</v>
      </c>
      <c r="G98"/>
    </row>
    <row r="99" spans="1:7" x14ac:dyDescent="0.25">
      <c r="A99" s="13">
        <v>98</v>
      </c>
      <c r="B99" s="10"/>
      <c r="C99"/>
      <c r="D99" s="22"/>
      <c r="E99" s="25"/>
      <c r="F99" s="40">
        <v>5</v>
      </c>
      <c r="G99"/>
    </row>
    <row r="100" spans="1:7" x14ac:dyDescent="0.25">
      <c r="A100" s="13">
        <v>99</v>
      </c>
      <c r="B100" s="10"/>
      <c r="C100"/>
      <c r="D100" s="22"/>
      <c r="E100" s="25"/>
      <c r="F100" s="40">
        <v>5</v>
      </c>
      <c r="G100"/>
    </row>
    <row r="101" spans="1:7" x14ac:dyDescent="0.25">
      <c r="A101" s="13">
        <v>100</v>
      </c>
      <c r="B101" s="10"/>
      <c r="C101"/>
      <c r="D101" s="22"/>
      <c r="E101" s="25"/>
      <c r="F101" s="40">
        <v>5</v>
      </c>
      <c r="G101"/>
    </row>
    <row r="102" spans="1:7" x14ac:dyDescent="0.25">
      <c r="A102" s="13">
        <v>101</v>
      </c>
      <c r="B102" s="10"/>
      <c r="C102"/>
      <c r="D102" s="22"/>
      <c r="E102" s="25"/>
      <c r="F102" s="40">
        <v>5</v>
      </c>
      <c r="G102"/>
    </row>
    <row r="103" spans="1:7" x14ac:dyDescent="0.25">
      <c r="A103" s="13">
        <v>102</v>
      </c>
      <c r="B103" s="10"/>
      <c r="C103"/>
      <c r="D103" s="22"/>
      <c r="E103" s="25"/>
      <c r="F103" s="40">
        <v>5</v>
      </c>
      <c r="G103"/>
    </row>
    <row r="104" spans="1:7" x14ac:dyDescent="0.25">
      <c r="A104" s="13">
        <v>103</v>
      </c>
      <c r="B104" s="10"/>
      <c r="C104"/>
      <c r="D104" s="22"/>
      <c r="E104" s="25"/>
      <c r="F104" s="40">
        <v>5</v>
      </c>
      <c r="G104"/>
    </row>
    <row r="105" spans="1:7" x14ac:dyDescent="0.25">
      <c r="A105" s="13">
        <v>104</v>
      </c>
      <c r="B105" s="10"/>
      <c r="C105"/>
      <c r="D105" s="22"/>
      <c r="E105" s="25"/>
      <c r="F105" s="40">
        <v>5</v>
      </c>
      <c r="G105"/>
    </row>
    <row r="106" spans="1:7" x14ac:dyDescent="0.25">
      <c r="A106" s="13">
        <v>105</v>
      </c>
      <c r="B106" s="10"/>
      <c r="C106"/>
      <c r="D106" s="22"/>
      <c r="E106" s="25"/>
      <c r="F106" s="40">
        <v>5</v>
      </c>
      <c r="G106"/>
    </row>
    <row r="107" spans="1:7" x14ac:dyDescent="0.25">
      <c r="A107" s="13">
        <v>106</v>
      </c>
      <c r="B107" s="10"/>
      <c r="C107"/>
      <c r="D107" s="22"/>
      <c r="E107" s="27"/>
      <c r="F107" s="40">
        <v>315</v>
      </c>
      <c r="G107"/>
    </row>
    <row r="108" spans="1:7" x14ac:dyDescent="0.25">
      <c r="A108" s="13">
        <v>107</v>
      </c>
      <c r="B108" s="10"/>
      <c r="C108"/>
      <c r="D108" s="22"/>
      <c r="E108" s="27"/>
      <c r="F108" s="40">
        <v>680</v>
      </c>
      <c r="G108"/>
    </row>
    <row r="109" spans="1:7" x14ac:dyDescent="0.25">
      <c r="A109" s="13">
        <v>108</v>
      </c>
      <c r="B109" s="10"/>
      <c r="C109"/>
      <c r="D109" s="22"/>
      <c r="E109" s="27"/>
      <c r="F109" s="40">
        <v>680</v>
      </c>
      <c r="G109"/>
    </row>
    <row r="110" spans="1:7" x14ac:dyDescent="0.25">
      <c r="A110" s="13">
        <v>109</v>
      </c>
      <c r="B110" s="10"/>
      <c r="C110"/>
      <c r="D110" s="22"/>
      <c r="E110" s="27"/>
      <c r="F110" s="40">
        <v>1000</v>
      </c>
      <c r="G110"/>
    </row>
    <row r="111" spans="1:7" x14ac:dyDescent="0.25">
      <c r="A111" s="13">
        <v>110</v>
      </c>
      <c r="B111" s="10"/>
      <c r="C111"/>
      <c r="D111" s="22"/>
      <c r="E111" s="27"/>
      <c r="F111" s="40">
        <v>5</v>
      </c>
      <c r="G111"/>
    </row>
    <row r="112" spans="1:7" x14ac:dyDescent="0.25">
      <c r="A112" s="13">
        <v>111</v>
      </c>
      <c r="B112" s="10"/>
      <c r="C112"/>
      <c r="D112" s="22"/>
      <c r="E112" s="25"/>
      <c r="F112" s="40">
        <v>5</v>
      </c>
      <c r="G112"/>
    </row>
    <row r="113" spans="1:7" x14ac:dyDescent="0.25">
      <c r="A113" s="13">
        <v>112</v>
      </c>
      <c r="B113" s="10"/>
      <c r="C113"/>
      <c r="D113" s="22"/>
      <c r="E113" s="25"/>
      <c r="F113" s="40">
        <v>1547</v>
      </c>
      <c r="G113"/>
    </row>
    <row r="114" spans="1:7" x14ac:dyDescent="0.25">
      <c r="A114" s="13">
        <v>113</v>
      </c>
      <c r="B114" s="10"/>
      <c r="C114"/>
      <c r="D114" s="22"/>
      <c r="E114" s="25"/>
      <c r="F114" s="40">
        <v>5</v>
      </c>
      <c r="G114"/>
    </row>
    <row r="115" spans="1:7" x14ac:dyDescent="0.25">
      <c r="A115" s="13">
        <v>114</v>
      </c>
      <c r="B115" s="10"/>
      <c r="C115"/>
      <c r="D115" s="22"/>
      <c r="E115" s="25"/>
      <c r="F115" s="40">
        <v>5</v>
      </c>
      <c r="G115"/>
    </row>
    <row r="116" spans="1:7" x14ac:dyDescent="0.25">
      <c r="A116" s="13">
        <v>115</v>
      </c>
      <c r="B116" s="10"/>
      <c r="C116"/>
      <c r="D116" s="22"/>
      <c r="E116" s="25"/>
      <c r="F116" s="40">
        <v>5</v>
      </c>
      <c r="G116"/>
    </row>
    <row r="117" spans="1:7" x14ac:dyDescent="0.25">
      <c r="A117" s="13">
        <v>116</v>
      </c>
      <c r="B117" s="10"/>
      <c r="C117"/>
      <c r="D117" s="22"/>
      <c r="E117" s="25"/>
      <c r="F117" s="40">
        <v>2054</v>
      </c>
      <c r="G117"/>
    </row>
    <row r="118" spans="1:7" x14ac:dyDescent="0.25">
      <c r="A118" s="13">
        <v>117</v>
      </c>
      <c r="B118" s="10"/>
      <c r="C118"/>
      <c r="D118" s="22"/>
      <c r="E118" s="25"/>
      <c r="F118" s="40">
        <v>5</v>
      </c>
      <c r="G118"/>
    </row>
    <row r="119" spans="1:7" x14ac:dyDescent="0.25">
      <c r="A119" s="13">
        <v>118</v>
      </c>
      <c r="B119" s="10"/>
      <c r="C119"/>
      <c r="D119" s="22"/>
      <c r="E119" s="25"/>
      <c r="F119" s="40">
        <v>5</v>
      </c>
      <c r="G119"/>
    </row>
    <row r="120" spans="1:7" x14ac:dyDescent="0.25">
      <c r="A120" s="13">
        <v>119</v>
      </c>
      <c r="B120" s="10"/>
      <c r="C120"/>
      <c r="D120" s="22"/>
      <c r="E120" s="25"/>
      <c r="F120" s="40">
        <v>5</v>
      </c>
      <c r="G120"/>
    </row>
    <row r="121" spans="1:7" x14ac:dyDescent="0.25">
      <c r="A121" s="13">
        <v>120</v>
      </c>
      <c r="B121" s="10"/>
      <c r="C121"/>
      <c r="D121" s="22"/>
      <c r="E121" s="25"/>
      <c r="F121" s="40">
        <v>150</v>
      </c>
      <c r="G121"/>
    </row>
    <row r="122" spans="1:7" x14ac:dyDescent="0.25">
      <c r="A122" s="13">
        <v>121</v>
      </c>
      <c r="B122" s="10"/>
      <c r="C122"/>
      <c r="D122" s="22"/>
      <c r="E122" s="25"/>
      <c r="F122" s="40">
        <v>5</v>
      </c>
      <c r="G122"/>
    </row>
    <row r="123" spans="1:7" x14ac:dyDescent="0.25">
      <c r="A123" s="13">
        <v>122</v>
      </c>
      <c r="B123" s="10"/>
      <c r="C123"/>
      <c r="D123" s="22"/>
      <c r="E123" s="25"/>
      <c r="F123" s="40">
        <v>200</v>
      </c>
      <c r="G123"/>
    </row>
    <row r="124" spans="1:7" x14ac:dyDescent="0.25">
      <c r="A124" s="13">
        <v>123</v>
      </c>
      <c r="B124" s="10"/>
      <c r="C124"/>
      <c r="D124" s="22"/>
      <c r="E124" s="25"/>
      <c r="F124" s="40">
        <v>5</v>
      </c>
      <c r="G124"/>
    </row>
    <row r="125" spans="1:7" x14ac:dyDescent="0.25">
      <c r="A125" s="13">
        <v>124</v>
      </c>
      <c r="B125" s="10"/>
      <c r="C125"/>
      <c r="D125" s="22"/>
      <c r="E125" s="25"/>
      <c r="F125" s="40">
        <v>175</v>
      </c>
      <c r="G125"/>
    </row>
    <row r="126" spans="1:7" x14ac:dyDescent="0.25">
      <c r="A126" s="13">
        <v>125</v>
      </c>
      <c r="B126" s="10"/>
      <c r="C126"/>
      <c r="D126" s="22"/>
      <c r="E126" s="25"/>
      <c r="F126" s="40">
        <v>5</v>
      </c>
      <c r="G126"/>
    </row>
    <row r="127" spans="1:7" x14ac:dyDescent="0.25">
      <c r="A127" s="13">
        <v>126</v>
      </c>
      <c r="B127" s="10"/>
      <c r="C127"/>
      <c r="D127" s="22"/>
      <c r="E127" s="25"/>
      <c r="F127" s="40">
        <v>5</v>
      </c>
      <c r="G127"/>
    </row>
    <row r="128" spans="1:7" x14ac:dyDescent="0.25">
      <c r="A128" s="13">
        <v>127</v>
      </c>
      <c r="B128" s="10"/>
      <c r="C128"/>
      <c r="D128" s="22"/>
      <c r="E128" s="25"/>
      <c r="F128" s="40">
        <v>5</v>
      </c>
      <c r="G128"/>
    </row>
    <row r="129" spans="1:7" x14ac:dyDescent="0.25">
      <c r="A129" s="13">
        <v>128</v>
      </c>
      <c r="B129" s="10"/>
      <c r="C129"/>
      <c r="D129" s="22"/>
      <c r="E129" s="25"/>
      <c r="F129" s="40">
        <v>21.2</v>
      </c>
      <c r="G129"/>
    </row>
    <row r="130" spans="1:7" x14ac:dyDescent="0.25">
      <c r="A130" s="13">
        <v>129</v>
      </c>
      <c r="B130" s="10"/>
      <c r="C130"/>
      <c r="D130" s="22"/>
      <c r="E130" s="25"/>
      <c r="F130" s="40">
        <v>21.2</v>
      </c>
      <c r="G130"/>
    </row>
    <row r="131" spans="1:7" x14ac:dyDescent="0.25">
      <c r="A131" s="13">
        <v>130</v>
      </c>
      <c r="B131" s="10"/>
      <c r="C131"/>
      <c r="D131" s="22"/>
      <c r="E131" s="25"/>
      <c r="F131" s="40">
        <v>21.2</v>
      </c>
      <c r="G131"/>
    </row>
    <row r="132" spans="1:7" x14ac:dyDescent="0.25">
      <c r="A132" s="13">
        <v>131</v>
      </c>
      <c r="B132" s="10"/>
      <c r="C132"/>
      <c r="D132" s="22"/>
      <c r="E132" s="25"/>
      <c r="F132" s="40">
        <v>155</v>
      </c>
      <c r="G132"/>
    </row>
    <row r="133" spans="1:7" x14ac:dyDescent="0.25">
      <c r="A133" s="13">
        <v>132</v>
      </c>
      <c r="B133" s="10"/>
      <c r="C133"/>
      <c r="D133" s="22"/>
      <c r="E133" s="25"/>
      <c r="F133" s="40">
        <v>5</v>
      </c>
      <c r="G133"/>
    </row>
    <row r="134" spans="1:7" x14ac:dyDescent="0.25">
      <c r="A134" s="13">
        <v>133</v>
      </c>
      <c r="B134" s="10"/>
      <c r="C134"/>
      <c r="D134" s="22"/>
      <c r="E134" s="25"/>
      <c r="F134" s="40">
        <v>5</v>
      </c>
      <c r="G134"/>
    </row>
    <row r="135" spans="1:7" x14ac:dyDescent="0.25">
      <c r="A135" s="13">
        <v>134</v>
      </c>
      <c r="B135" s="10"/>
      <c r="C135"/>
      <c r="D135" s="22"/>
      <c r="E135" s="25"/>
      <c r="F135" s="40">
        <v>30</v>
      </c>
      <c r="G135"/>
    </row>
    <row r="136" spans="1:7" x14ac:dyDescent="0.25">
      <c r="A136" s="13">
        <v>135</v>
      </c>
      <c r="B136" s="10"/>
      <c r="C136"/>
      <c r="D136" s="22"/>
      <c r="E136" s="25"/>
      <c r="F136" s="40">
        <v>118.93</v>
      </c>
      <c r="G136"/>
    </row>
    <row r="137" spans="1:7" x14ac:dyDescent="0.25">
      <c r="A137" s="13">
        <v>136</v>
      </c>
      <c r="B137" s="10"/>
      <c r="C137"/>
      <c r="D137" s="22"/>
      <c r="E137" s="25"/>
      <c r="F137" s="40">
        <v>5</v>
      </c>
      <c r="G137"/>
    </row>
    <row r="138" spans="1:7" x14ac:dyDescent="0.25">
      <c r="A138" s="13">
        <v>137</v>
      </c>
      <c r="B138" s="10"/>
      <c r="C138"/>
      <c r="D138" s="22"/>
      <c r="E138" s="25"/>
      <c r="F138" s="40">
        <v>5</v>
      </c>
      <c r="G138"/>
    </row>
    <row r="139" spans="1:7" x14ac:dyDescent="0.25">
      <c r="A139" s="13">
        <v>138</v>
      </c>
      <c r="B139" s="10"/>
      <c r="C139"/>
      <c r="D139" s="22"/>
      <c r="E139" s="25"/>
      <c r="F139" s="40">
        <v>125</v>
      </c>
      <c r="G139"/>
    </row>
    <row r="140" spans="1:7" x14ac:dyDescent="0.25">
      <c r="A140" s="13">
        <v>139</v>
      </c>
      <c r="B140" s="10"/>
      <c r="C140"/>
      <c r="D140" s="22"/>
      <c r="E140" s="25"/>
      <c r="F140" s="40">
        <v>5</v>
      </c>
      <c r="G140"/>
    </row>
    <row r="141" spans="1:7" x14ac:dyDescent="0.25">
      <c r="A141" s="13">
        <v>140</v>
      </c>
      <c r="B141" s="10"/>
      <c r="C141"/>
      <c r="D141" s="22"/>
      <c r="E141" s="25"/>
      <c r="F141" s="40">
        <v>5</v>
      </c>
      <c r="G141"/>
    </row>
    <row r="142" spans="1:7" x14ac:dyDescent="0.25">
      <c r="A142" s="13">
        <v>141</v>
      </c>
      <c r="B142" s="10"/>
      <c r="C142"/>
      <c r="D142" s="22"/>
      <c r="E142" s="25"/>
      <c r="F142" s="40">
        <v>5</v>
      </c>
      <c r="G142"/>
    </row>
    <row r="143" spans="1:7" x14ac:dyDescent="0.25">
      <c r="A143" s="13">
        <v>142</v>
      </c>
      <c r="B143" s="10"/>
      <c r="C143"/>
      <c r="D143" s="22"/>
      <c r="E143" s="25"/>
      <c r="F143" s="40">
        <v>5</v>
      </c>
      <c r="G143"/>
    </row>
    <row r="144" spans="1:7" x14ac:dyDescent="0.25">
      <c r="A144" s="13">
        <v>143</v>
      </c>
      <c r="B144" s="10"/>
      <c r="C144"/>
      <c r="D144" s="22"/>
      <c r="E144" s="25"/>
      <c r="F144" s="40">
        <v>5</v>
      </c>
      <c r="G144"/>
    </row>
    <row r="145" spans="1:7" x14ac:dyDescent="0.25">
      <c r="A145" s="13">
        <v>144</v>
      </c>
      <c r="B145" s="10"/>
      <c r="C145"/>
      <c r="D145" s="22"/>
      <c r="E145" s="25"/>
      <c r="F145" s="40">
        <v>5</v>
      </c>
      <c r="G145"/>
    </row>
    <row r="146" spans="1:7" x14ac:dyDescent="0.25">
      <c r="A146" s="13">
        <v>145</v>
      </c>
      <c r="B146" s="10"/>
      <c r="C146"/>
      <c r="D146" s="22"/>
      <c r="E146" s="25"/>
      <c r="F146" s="40">
        <v>5</v>
      </c>
      <c r="G146"/>
    </row>
    <row r="147" spans="1:7" x14ac:dyDescent="0.25">
      <c r="A147" s="13">
        <v>146</v>
      </c>
      <c r="B147" s="10"/>
      <c r="C147"/>
      <c r="D147" s="22"/>
      <c r="E147" s="25"/>
      <c r="F147" s="40">
        <v>5</v>
      </c>
      <c r="G147"/>
    </row>
    <row r="148" spans="1:7" x14ac:dyDescent="0.25">
      <c r="A148" s="13">
        <v>147</v>
      </c>
      <c r="B148" s="10"/>
      <c r="C148"/>
      <c r="D148" s="22"/>
      <c r="E148" s="25"/>
      <c r="F148" s="40">
        <v>5</v>
      </c>
      <c r="G148"/>
    </row>
    <row r="149" spans="1:7" x14ac:dyDescent="0.25">
      <c r="A149" s="13">
        <v>148</v>
      </c>
      <c r="B149" s="10"/>
      <c r="C149"/>
      <c r="D149" s="22"/>
      <c r="E149" s="25"/>
      <c r="F149" s="40">
        <v>5</v>
      </c>
      <c r="G149"/>
    </row>
    <row r="150" spans="1:7" x14ac:dyDescent="0.25">
      <c r="A150" s="13">
        <v>149</v>
      </c>
      <c r="B150" s="37"/>
      <c r="C150"/>
      <c r="D150" s="39"/>
      <c r="E150" s="25"/>
      <c r="F150" s="40">
        <v>1344.98</v>
      </c>
      <c r="G150"/>
    </row>
    <row r="151" spans="1:7" x14ac:dyDescent="0.25">
      <c r="A151" s="13">
        <v>150</v>
      </c>
      <c r="B151" s="37"/>
      <c r="C151"/>
      <c r="D151" s="22"/>
      <c r="E151" s="28"/>
      <c r="F151" s="40">
        <v>5</v>
      </c>
      <c r="G151"/>
    </row>
    <row r="152" spans="1:7" x14ac:dyDescent="0.25">
      <c r="A152" s="13">
        <v>151</v>
      </c>
      <c r="B152" s="37"/>
      <c r="C152"/>
      <c r="D152" s="22"/>
      <c r="E152" s="28"/>
      <c r="F152" s="40">
        <v>2500</v>
      </c>
      <c r="G152"/>
    </row>
    <row r="153" spans="1:7" x14ac:dyDescent="0.25">
      <c r="A153" s="13">
        <v>152</v>
      </c>
      <c r="B153" s="37"/>
      <c r="C153"/>
      <c r="D153" s="22"/>
      <c r="E153" s="28"/>
      <c r="F153" s="40">
        <v>5</v>
      </c>
      <c r="G153"/>
    </row>
    <row r="154" spans="1:7" x14ac:dyDescent="0.25">
      <c r="A154" s="13">
        <v>153</v>
      </c>
      <c r="B154" s="10"/>
      <c r="C154"/>
      <c r="D154" s="22"/>
      <c r="E154" s="28"/>
      <c r="F154" s="40">
        <v>5</v>
      </c>
      <c r="G154"/>
    </row>
    <row r="155" spans="1:7" x14ac:dyDescent="0.25">
      <c r="A155" s="13">
        <v>154</v>
      </c>
      <c r="B155" s="10"/>
      <c r="C155"/>
      <c r="D155" s="22"/>
      <c r="E155" s="25"/>
      <c r="F155" s="40">
        <v>5</v>
      </c>
      <c r="G155"/>
    </row>
    <row r="156" spans="1:7" x14ac:dyDescent="0.25">
      <c r="A156" s="13">
        <v>155</v>
      </c>
      <c r="B156" s="10"/>
      <c r="C156"/>
      <c r="D156" s="22"/>
      <c r="E156" s="25"/>
      <c r="F156" s="40">
        <v>1600</v>
      </c>
      <c r="G156"/>
    </row>
    <row r="157" spans="1:7" x14ac:dyDescent="0.25">
      <c r="A157" s="13">
        <v>156</v>
      </c>
      <c r="B157" s="10"/>
      <c r="C157"/>
      <c r="D157" s="22"/>
      <c r="E157" s="25"/>
      <c r="F157" s="40">
        <v>5</v>
      </c>
      <c r="G157"/>
    </row>
    <row r="158" spans="1:7" x14ac:dyDescent="0.25">
      <c r="A158" s="13">
        <v>157</v>
      </c>
      <c r="B158" s="10"/>
      <c r="C158"/>
      <c r="D158" s="22"/>
      <c r="E158" s="25"/>
      <c r="F158" s="40">
        <v>1600</v>
      </c>
      <c r="G158"/>
    </row>
    <row r="159" spans="1:7" x14ac:dyDescent="0.25">
      <c r="A159" s="13">
        <v>158</v>
      </c>
      <c r="B159" s="10"/>
      <c r="C159"/>
      <c r="D159" s="22"/>
      <c r="E159" s="25"/>
      <c r="F159" s="40">
        <v>5</v>
      </c>
      <c r="G159"/>
    </row>
    <row r="160" spans="1:7" x14ac:dyDescent="0.25">
      <c r="A160" s="13">
        <v>159</v>
      </c>
      <c r="B160" s="10"/>
      <c r="C160"/>
      <c r="D160" s="22"/>
      <c r="E160" s="25"/>
      <c r="F160" s="40">
        <v>17.3</v>
      </c>
      <c r="G160"/>
    </row>
    <row r="161" spans="1:7" x14ac:dyDescent="0.25">
      <c r="A161" s="13">
        <v>160</v>
      </c>
      <c r="B161" s="10"/>
      <c r="C161"/>
      <c r="D161" s="22"/>
      <c r="E161" s="25"/>
      <c r="F161" s="40">
        <v>24</v>
      </c>
      <c r="G161"/>
    </row>
    <row r="162" spans="1:7" x14ac:dyDescent="0.25">
      <c r="A162" s="13">
        <v>161</v>
      </c>
      <c r="B162" s="10"/>
      <c r="C162"/>
      <c r="D162" s="22"/>
      <c r="E162" s="25"/>
      <c r="F162" s="40">
        <v>26</v>
      </c>
      <c r="G162"/>
    </row>
    <row r="163" spans="1:7" x14ac:dyDescent="0.25">
      <c r="A163" s="13">
        <v>162</v>
      </c>
      <c r="B163" s="10"/>
      <c r="C163"/>
      <c r="D163" s="22"/>
      <c r="E163" s="25"/>
      <c r="F163" s="40">
        <v>28</v>
      </c>
      <c r="G163"/>
    </row>
    <row r="164" spans="1:7" x14ac:dyDescent="0.25">
      <c r="A164" s="13">
        <v>163</v>
      </c>
      <c r="B164" s="10"/>
      <c r="C164"/>
      <c r="D164" s="22"/>
      <c r="E164" s="25"/>
      <c r="F164" s="40">
        <v>32</v>
      </c>
      <c r="G164"/>
    </row>
    <row r="165" spans="1:7" x14ac:dyDescent="0.25">
      <c r="A165" s="13">
        <v>164</v>
      </c>
      <c r="B165" s="10"/>
      <c r="C165"/>
      <c r="D165" s="22"/>
      <c r="E165" s="25"/>
      <c r="F165" s="40">
        <v>5</v>
      </c>
      <c r="G165"/>
    </row>
    <row r="166" spans="1:7" x14ac:dyDescent="0.25">
      <c r="A166" s="13">
        <v>165</v>
      </c>
      <c r="B166" s="10"/>
      <c r="C166"/>
      <c r="D166" s="22"/>
      <c r="E166" s="25"/>
      <c r="F166" s="40">
        <v>5</v>
      </c>
      <c r="G166"/>
    </row>
    <row r="167" spans="1:7" x14ac:dyDescent="0.25">
      <c r="A167" s="13">
        <v>166</v>
      </c>
      <c r="B167" s="10"/>
      <c r="C167"/>
      <c r="D167" s="22"/>
      <c r="E167" s="25"/>
      <c r="F167" s="40">
        <v>5</v>
      </c>
      <c r="G167"/>
    </row>
    <row r="168" spans="1:7" x14ac:dyDescent="0.25">
      <c r="A168" s="13">
        <v>167</v>
      </c>
      <c r="B168" s="10"/>
      <c r="C168"/>
      <c r="D168" s="22"/>
      <c r="E168" s="25"/>
      <c r="F168" s="40">
        <v>5</v>
      </c>
      <c r="G168"/>
    </row>
    <row r="169" spans="1:7" x14ac:dyDescent="0.25">
      <c r="A169" s="13">
        <v>168</v>
      </c>
      <c r="B169" s="10"/>
      <c r="C169"/>
      <c r="D169" s="22"/>
      <c r="E169" s="25"/>
      <c r="F169" s="40">
        <v>5</v>
      </c>
      <c r="G169"/>
    </row>
    <row r="170" spans="1:7" x14ac:dyDescent="0.25">
      <c r="A170" s="13">
        <v>169</v>
      </c>
      <c r="B170" s="36"/>
      <c r="C170"/>
      <c r="D170" s="22"/>
      <c r="E170" s="25"/>
      <c r="F170" s="40">
        <v>25</v>
      </c>
      <c r="G170"/>
    </row>
    <row r="171" spans="1:7" x14ac:dyDescent="0.25">
      <c r="A171" s="13">
        <v>170</v>
      </c>
      <c r="B171" s="10"/>
      <c r="C171"/>
      <c r="D171" s="22"/>
      <c r="E171" s="25"/>
      <c r="F171" s="40">
        <v>52</v>
      </c>
      <c r="G171"/>
    </row>
    <row r="172" spans="1:7" x14ac:dyDescent="0.25">
      <c r="A172" s="13">
        <v>171</v>
      </c>
      <c r="B172" s="10"/>
      <c r="C172"/>
      <c r="D172" s="22"/>
      <c r="E172" s="25"/>
      <c r="F172" s="40">
        <v>5</v>
      </c>
      <c r="G172"/>
    </row>
    <row r="173" spans="1:7" x14ac:dyDescent="0.25">
      <c r="A173" s="13">
        <v>172</v>
      </c>
      <c r="B173" s="10"/>
      <c r="C173"/>
      <c r="D173" s="22"/>
      <c r="E173" s="25"/>
      <c r="F173" s="40">
        <v>5</v>
      </c>
      <c r="G173"/>
    </row>
    <row r="174" spans="1:7" x14ac:dyDescent="0.25">
      <c r="A174" s="13">
        <v>173</v>
      </c>
      <c r="B174" s="10"/>
      <c r="C174"/>
      <c r="D174" s="22"/>
      <c r="E174" s="25"/>
      <c r="F174" s="40">
        <v>52</v>
      </c>
      <c r="G174"/>
    </row>
    <row r="175" spans="1:7" x14ac:dyDescent="0.25">
      <c r="A175" s="13">
        <v>174</v>
      </c>
      <c r="B175" s="10"/>
      <c r="C175"/>
      <c r="D175" s="22"/>
      <c r="E175" s="25"/>
      <c r="F175" s="40">
        <v>60</v>
      </c>
      <c r="G175"/>
    </row>
    <row r="176" spans="1:7" x14ac:dyDescent="0.25">
      <c r="A176" s="13">
        <v>175</v>
      </c>
      <c r="B176" s="10"/>
      <c r="C176"/>
      <c r="D176" s="22"/>
      <c r="E176" s="25"/>
      <c r="F176" s="40">
        <v>33</v>
      </c>
      <c r="G176"/>
    </row>
    <row r="177" spans="1:7" x14ac:dyDescent="0.25">
      <c r="A177" s="13">
        <v>176</v>
      </c>
      <c r="B177" s="10"/>
      <c r="C177"/>
      <c r="D177" s="22"/>
      <c r="E177" s="25"/>
      <c r="F177" s="40">
        <v>36</v>
      </c>
      <c r="G177"/>
    </row>
    <row r="178" spans="1:7" x14ac:dyDescent="0.25">
      <c r="A178" s="13">
        <v>177</v>
      </c>
      <c r="B178" s="10"/>
      <c r="C178"/>
      <c r="D178" s="22"/>
      <c r="E178" s="25"/>
      <c r="F178" s="40">
        <v>58</v>
      </c>
      <c r="G178"/>
    </row>
    <row r="179" spans="1:7" x14ac:dyDescent="0.25">
      <c r="A179" s="13">
        <v>178</v>
      </c>
      <c r="B179" s="10"/>
      <c r="C179"/>
      <c r="D179" s="22"/>
      <c r="E179" s="25"/>
      <c r="F179" s="40">
        <v>5</v>
      </c>
      <c r="G179"/>
    </row>
    <row r="180" spans="1:7" x14ac:dyDescent="0.25">
      <c r="A180" s="13">
        <v>179</v>
      </c>
      <c r="B180" s="10"/>
      <c r="C180"/>
      <c r="D180" s="22"/>
      <c r="E180" s="25"/>
      <c r="F180" s="40">
        <v>93</v>
      </c>
      <c r="G180"/>
    </row>
    <row r="181" spans="1:7" x14ac:dyDescent="0.25">
      <c r="A181" s="13">
        <v>180</v>
      </c>
      <c r="B181" s="10"/>
      <c r="C181"/>
      <c r="D181" s="22"/>
      <c r="E181" s="25"/>
      <c r="F181" s="40">
        <v>5</v>
      </c>
      <c r="G181"/>
    </row>
    <row r="182" spans="1:7" x14ac:dyDescent="0.25">
      <c r="A182" s="13">
        <v>181</v>
      </c>
      <c r="B182" s="10"/>
      <c r="C182"/>
      <c r="D182" s="22"/>
      <c r="E182" s="25"/>
      <c r="F182" s="40">
        <v>69</v>
      </c>
      <c r="G182"/>
    </row>
    <row r="183" spans="1:7" x14ac:dyDescent="0.25">
      <c r="A183" s="13">
        <v>182</v>
      </c>
      <c r="B183" s="10"/>
      <c r="C183"/>
      <c r="D183" s="22"/>
      <c r="E183" s="25"/>
      <c r="F183" s="40">
        <v>70</v>
      </c>
      <c r="G183"/>
    </row>
    <row r="184" spans="1:7" x14ac:dyDescent="0.25">
      <c r="A184" s="13">
        <v>183</v>
      </c>
      <c r="B184" s="10"/>
      <c r="C184"/>
      <c r="D184" s="22"/>
      <c r="E184" s="25"/>
      <c r="F184" s="40">
        <v>5</v>
      </c>
      <c r="G184"/>
    </row>
    <row r="185" spans="1:7" x14ac:dyDescent="0.25">
      <c r="A185" s="13">
        <v>184</v>
      </c>
      <c r="B185" s="10"/>
      <c r="C185"/>
      <c r="D185" s="22"/>
      <c r="E185" s="25"/>
      <c r="F185" s="40">
        <v>5</v>
      </c>
      <c r="G185"/>
    </row>
    <row r="186" spans="1:7" x14ac:dyDescent="0.25">
      <c r="A186" s="13">
        <v>185</v>
      </c>
      <c r="B186" s="10"/>
      <c r="C186"/>
      <c r="D186" s="22"/>
      <c r="E186" s="25"/>
      <c r="F186" s="40">
        <v>5</v>
      </c>
      <c r="G186"/>
    </row>
    <row r="187" spans="1:7" x14ac:dyDescent="0.25">
      <c r="A187" s="13">
        <v>186</v>
      </c>
      <c r="B187" s="10"/>
      <c r="C187"/>
      <c r="D187" s="22"/>
      <c r="E187" s="25"/>
      <c r="F187" s="40">
        <v>200</v>
      </c>
      <c r="G187"/>
    </row>
    <row r="188" spans="1:7" x14ac:dyDescent="0.25">
      <c r="A188" s="13">
        <v>187</v>
      </c>
      <c r="B188" s="10"/>
      <c r="C188"/>
      <c r="D188" s="22"/>
      <c r="E188" s="25"/>
      <c r="F188" s="40">
        <v>5</v>
      </c>
      <c r="G188"/>
    </row>
    <row r="189" spans="1:7" x14ac:dyDescent="0.25">
      <c r="A189" s="13">
        <v>188</v>
      </c>
      <c r="B189" s="10"/>
      <c r="C189"/>
      <c r="D189" s="22"/>
      <c r="E189" s="25"/>
      <c r="F189" s="40">
        <v>5</v>
      </c>
      <c r="G189"/>
    </row>
    <row r="190" spans="1:7" x14ac:dyDescent="0.25">
      <c r="A190" s="13">
        <v>189</v>
      </c>
      <c r="B190" s="37"/>
      <c r="C190"/>
      <c r="D190" s="22"/>
      <c r="E190" s="27"/>
      <c r="F190" s="40">
        <v>5</v>
      </c>
      <c r="G190"/>
    </row>
    <row r="191" spans="1:7" x14ac:dyDescent="0.25">
      <c r="A191" s="13">
        <v>190</v>
      </c>
      <c r="B191" s="37"/>
      <c r="C191"/>
      <c r="D191" s="22"/>
      <c r="E191" s="27"/>
      <c r="F191" s="40">
        <v>5</v>
      </c>
      <c r="G191"/>
    </row>
    <row r="192" spans="1:7" x14ac:dyDescent="0.25">
      <c r="A192" s="13">
        <v>191</v>
      </c>
      <c r="B192" s="37"/>
      <c r="C192"/>
      <c r="D192" s="22"/>
      <c r="E192" s="27"/>
      <c r="F192" s="40">
        <v>5</v>
      </c>
      <c r="G192"/>
    </row>
    <row r="193" spans="1:7" x14ac:dyDescent="0.25">
      <c r="A193" s="13">
        <v>192</v>
      </c>
      <c r="B193" s="37"/>
      <c r="C193"/>
      <c r="D193" s="22"/>
      <c r="E193" s="27"/>
      <c r="F193" s="40">
        <v>5</v>
      </c>
      <c r="G193"/>
    </row>
    <row r="194" spans="1:7" x14ac:dyDescent="0.25">
      <c r="A194" s="13">
        <v>193</v>
      </c>
      <c r="B194" s="37"/>
      <c r="C194"/>
      <c r="D194" s="22"/>
      <c r="E194" s="27"/>
      <c r="F194" s="40">
        <v>5940</v>
      </c>
      <c r="G194"/>
    </row>
    <row r="195" spans="1:7" x14ac:dyDescent="0.25">
      <c r="A195" s="13">
        <v>194</v>
      </c>
      <c r="B195" s="37"/>
      <c r="C195"/>
      <c r="D195" s="22"/>
      <c r="E195" s="27"/>
      <c r="F195" s="40">
        <v>5</v>
      </c>
      <c r="G195"/>
    </row>
    <row r="196" spans="1:7" x14ac:dyDescent="0.25">
      <c r="A196" s="13">
        <v>195</v>
      </c>
      <c r="B196" s="37"/>
      <c r="C196"/>
      <c r="D196" s="22"/>
      <c r="E196" s="27"/>
      <c r="F196" s="40">
        <v>10260</v>
      </c>
      <c r="G196"/>
    </row>
    <row r="197" spans="1:7" x14ac:dyDescent="0.25">
      <c r="A197" s="13">
        <v>196</v>
      </c>
      <c r="B197" s="37"/>
      <c r="C197"/>
      <c r="D197" s="22"/>
      <c r="E197" s="27"/>
      <c r="F197" s="40">
        <v>5</v>
      </c>
      <c r="G197"/>
    </row>
    <row r="198" spans="1:7" x14ac:dyDescent="0.25">
      <c r="A198" s="13">
        <v>197</v>
      </c>
      <c r="B198" s="37"/>
      <c r="C198"/>
      <c r="D198" s="22"/>
      <c r="E198" s="27"/>
      <c r="F198" s="40">
        <v>13600</v>
      </c>
      <c r="G198"/>
    </row>
    <row r="199" spans="1:7" x14ac:dyDescent="0.25">
      <c r="A199" s="13">
        <v>198</v>
      </c>
      <c r="B199" s="37"/>
      <c r="C199"/>
      <c r="D199" s="22"/>
      <c r="E199" s="27"/>
      <c r="F199" s="40">
        <v>5</v>
      </c>
      <c r="G199"/>
    </row>
    <row r="200" spans="1:7" x14ac:dyDescent="0.25">
      <c r="A200" s="13">
        <v>199</v>
      </c>
      <c r="B200" s="37"/>
      <c r="C200"/>
      <c r="D200" s="22"/>
      <c r="E200" s="27"/>
      <c r="F200" s="40">
        <v>19840</v>
      </c>
      <c r="G200"/>
    </row>
    <row r="201" spans="1:7" x14ac:dyDescent="0.25">
      <c r="A201" s="13">
        <v>200</v>
      </c>
      <c r="B201" s="37"/>
      <c r="C201"/>
      <c r="D201" s="22"/>
      <c r="E201" s="27"/>
      <c r="F201" s="40">
        <v>25000</v>
      </c>
      <c r="G201"/>
    </row>
    <row r="202" spans="1:7" x14ac:dyDescent="0.25">
      <c r="A202" s="13">
        <v>201</v>
      </c>
      <c r="B202" s="37"/>
      <c r="C202"/>
      <c r="D202" s="22"/>
      <c r="E202" s="27"/>
      <c r="F202" s="40">
        <v>5</v>
      </c>
      <c r="G202"/>
    </row>
    <row r="203" spans="1:7" x14ac:dyDescent="0.25">
      <c r="A203" s="13">
        <v>202</v>
      </c>
      <c r="B203" s="37"/>
      <c r="C203"/>
      <c r="D203" s="22"/>
      <c r="E203" s="27"/>
      <c r="F203" s="40">
        <v>5</v>
      </c>
      <c r="G203"/>
    </row>
    <row r="204" spans="1:7" x14ac:dyDescent="0.25">
      <c r="A204" s="13">
        <v>203</v>
      </c>
      <c r="B204" s="37"/>
      <c r="C204"/>
      <c r="D204" s="22"/>
      <c r="E204" s="27"/>
      <c r="F204" s="40">
        <v>5</v>
      </c>
      <c r="G204"/>
    </row>
    <row r="205" spans="1:7" x14ac:dyDescent="0.25">
      <c r="A205" s="13">
        <v>204</v>
      </c>
      <c r="B205" s="37"/>
      <c r="C205"/>
      <c r="D205" s="22"/>
      <c r="E205" s="27"/>
      <c r="F205" s="40">
        <v>5</v>
      </c>
      <c r="G205"/>
    </row>
    <row r="206" spans="1:7" x14ac:dyDescent="0.25">
      <c r="A206" s="13">
        <v>205</v>
      </c>
      <c r="B206" s="10"/>
      <c r="C206"/>
      <c r="D206" s="22"/>
      <c r="E206" s="25"/>
      <c r="F206" s="40">
        <v>245</v>
      </c>
      <c r="G206"/>
    </row>
    <row r="207" spans="1:7" x14ac:dyDescent="0.25">
      <c r="A207" s="13">
        <v>206</v>
      </c>
      <c r="B207" s="10"/>
      <c r="C207"/>
      <c r="D207" s="22"/>
      <c r="E207" s="25"/>
      <c r="F207" s="40">
        <v>275</v>
      </c>
      <c r="G207"/>
    </row>
    <row r="208" spans="1:7" x14ac:dyDescent="0.25">
      <c r="A208" s="13">
        <v>207</v>
      </c>
      <c r="B208" s="10"/>
      <c r="C208"/>
      <c r="D208" s="22"/>
      <c r="E208" s="27"/>
      <c r="F208" s="40">
        <v>5</v>
      </c>
      <c r="G208"/>
    </row>
    <row r="209" spans="1:7" x14ac:dyDescent="0.25">
      <c r="A209" s="13">
        <v>208</v>
      </c>
      <c r="B209" s="10"/>
      <c r="C209"/>
      <c r="D209" s="22"/>
      <c r="E209" s="25"/>
      <c r="F209" s="40">
        <v>5</v>
      </c>
      <c r="G209"/>
    </row>
    <row r="210" spans="1:7" x14ac:dyDescent="0.25">
      <c r="A210" s="13">
        <v>209</v>
      </c>
      <c r="B210" s="10"/>
      <c r="C210"/>
      <c r="D210" s="22"/>
      <c r="E210" s="25"/>
      <c r="F210" s="40">
        <v>90</v>
      </c>
      <c r="G210"/>
    </row>
    <row r="211" spans="1:7" x14ac:dyDescent="0.25">
      <c r="A211" s="13">
        <v>210</v>
      </c>
      <c r="B211" s="10"/>
      <c r="C211"/>
      <c r="D211" s="22"/>
      <c r="E211" s="25"/>
      <c r="F211" s="40">
        <v>5</v>
      </c>
      <c r="G211"/>
    </row>
    <row r="212" spans="1:7" x14ac:dyDescent="0.25">
      <c r="A212" s="13">
        <v>211</v>
      </c>
      <c r="B212" s="10"/>
      <c r="C212"/>
      <c r="D212" s="22"/>
      <c r="E212" s="25"/>
      <c r="F212" s="40">
        <v>5</v>
      </c>
      <c r="G212"/>
    </row>
    <row r="213" spans="1:7" x14ac:dyDescent="0.25">
      <c r="A213" s="13">
        <v>212</v>
      </c>
      <c r="B213" s="10"/>
      <c r="C213"/>
      <c r="D213" s="22"/>
      <c r="E213" s="25"/>
      <c r="F213" s="40">
        <v>5</v>
      </c>
      <c r="G213"/>
    </row>
    <row r="214" spans="1:7" x14ac:dyDescent="0.25">
      <c r="A214" s="13">
        <v>213</v>
      </c>
      <c r="B214" s="10"/>
      <c r="C214"/>
      <c r="D214" s="22"/>
      <c r="E214" s="25"/>
      <c r="F214" s="40">
        <v>5</v>
      </c>
      <c r="G214"/>
    </row>
    <row r="215" spans="1:7" x14ac:dyDescent="0.25">
      <c r="A215" s="13">
        <v>214</v>
      </c>
      <c r="B215" s="10"/>
      <c r="C215"/>
      <c r="D215" s="22"/>
      <c r="E215" s="25"/>
      <c r="F215" s="40">
        <v>5</v>
      </c>
      <c r="G215"/>
    </row>
    <row r="216" spans="1:7" x14ac:dyDescent="0.25">
      <c r="A216" s="13">
        <v>215</v>
      </c>
      <c r="B216" s="10"/>
      <c r="C216"/>
      <c r="D216" s="22"/>
      <c r="E216" s="25"/>
      <c r="F216" s="40">
        <v>5</v>
      </c>
      <c r="G216"/>
    </row>
    <row r="217" spans="1:7" x14ac:dyDescent="0.25">
      <c r="A217" s="13">
        <v>216</v>
      </c>
      <c r="B217" s="10"/>
      <c r="C217"/>
      <c r="D217" s="22"/>
      <c r="E217" s="25"/>
      <c r="F217" s="40">
        <v>68</v>
      </c>
      <c r="G217"/>
    </row>
    <row r="218" spans="1:7" x14ac:dyDescent="0.25">
      <c r="A218" s="13">
        <v>217</v>
      </c>
      <c r="B218" s="36"/>
      <c r="C218"/>
      <c r="D218" s="22"/>
      <c r="E218" s="25"/>
      <c r="F218" s="40">
        <v>5</v>
      </c>
      <c r="G218"/>
    </row>
    <row r="219" spans="1:7" x14ac:dyDescent="0.25">
      <c r="A219" s="13">
        <v>218</v>
      </c>
      <c r="B219" s="10"/>
      <c r="C219"/>
      <c r="D219" s="22"/>
      <c r="E219" s="25"/>
      <c r="F219" s="40">
        <v>5</v>
      </c>
      <c r="G219"/>
    </row>
    <row r="220" spans="1:7" x14ac:dyDescent="0.25">
      <c r="A220" s="13">
        <v>219</v>
      </c>
      <c r="B220" s="10"/>
      <c r="C220"/>
      <c r="D220" s="22"/>
      <c r="E220" s="25"/>
      <c r="F220" s="40">
        <v>5</v>
      </c>
      <c r="G220"/>
    </row>
    <row r="221" spans="1:7" x14ac:dyDescent="0.25">
      <c r="A221" s="13">
        <v>220</v>
      </c>
      <c r="B221" s="10"/>
      <c r="C221"/>
      <c r="D221" s="22"/>
      <c r="E221" s="25"/>
      <c r="F221" s="40">
        <v>5</v>
      </c>
      <c r="G221"/>
    </row>
    <row r="222" spans="1:7" x14ac:dyDescent="0.25">
      <c r="A222" s="13">
        <v>221</v>
      </c>
      <c r="B222" s="10"/>
      <c r="C222"/>
      <c r="D222" s="22"/>
      <c r="E222" s="25"/>
      <c r="F222" s="40">
        <v>5</v>
      </c>
      <c r="G222"/>
    </row>
    <row r="223" spans="1:7" x14ac:dyDescent="0.25">
      <c r="A223" s="13">
        <v>222</v>
      </c>
      <c r="B223" s="10"/>
      <c r="C223"/>
      <c r="D223" s="22"/>
      <c r="E223" s="25"/>
      <c r="F223" s="40">
        <v>5</v>
      </c>
      <c r="G223"/>
    </row>
    <row r="224" spans="1:7" x14ac:dyDescent="0.25">
      <c r="A224" s="13">
        <v>223</v>
      </c>
      <c r="B224" s="10"/>
      <c r="C224"/>
      <c r="D224" s="22"/>
      <c r="E224" s="25"/>
      <c r="F224" s="40">
        <v>5</v>
      </c>
      <c r="G224"/>
    </row>
    <row r="225" spans="1:7" x14ac:dyDescent="0.25">
      <c r="A225" s="13">
        <v>224</v>
      </c>
      <c r="B225" s="10"/>
      <c r="C225"/>
      <c r="D225" s="22"/>
      <c r="E225" s="25"/>
      <c r="F225" s="40">
        <v>5</v>
      </c>
      <c r="G225"/>
    </row>
    <row r="226" spans="1:7" x14ac:dyDescent="0.25">
      <c r="A226" s="13">
        <v>225</v>
      </c>
      <c r="B226" s="10"/>
      <c r="C226"/>
      <c r="D226" s="22"/>
      <c r="E226" s="25"/>
      <c r="F226" s="40">
        <v>39750</v>
      </c>
      <c r="G226"/>
    </row>
    <row r="227" spans="1:7" x14ac:dyDescent="0.25">
      <c r="A227" s="13">
        <v>226</v>
      </c>
      <c r="B227" s="10"/>
      <c r="C227"/>
      <c r="D227" s="22"/>
      <c r="E227" s="25"/>
      <c r="F227" s="40">
        <v>5</v>
      </c>
      <c r="G227"/>
    </row>
    <row r="228" spans="1:7" x14ac:dyDescent="0.25">
      <c r="A228" s="13">
        <v>227</v>
      </c>
      <c r="B228" s="10"/>
      <c r="C228"/>
      <c r="D228" s="22"/>
      <c r="E228" s="25"/>
      <c r="F228" s="40">
        <v>49618.86</v>
      </c>
      <c r="G228"/>
    </row>
    <row r="229" spans="1:7" x14ac:dyDescent="0.25">
      <c r="A229" s="13">
        <v>228</v>
      </c>
      <c r="B229" s="10"/>
      <c r="C229"/>
      <c r="D229" s="22"/>
      <c r="E229" s="25"/>
      <c r="F229" s="40">
        <v>5</v>
      </c>
      <c r="G229"/>
    </row>
    <row r="230" spans="1:7" x14ac:dyDescent="0.25">
      <c r="A230" s="13">
        <v>229</v>
      </c>
      <c r="B230" s="10"/>
      <c r="C230"/>
      <c r="D230" s="22"/>
      <c r="E230" s="25"/>
      <c r="F230" s="40">
        <v>57095</v>
      </c>
      <c r="G230"/>
    </row>
    <row r="231" spans="1:7" x14ac:dyDescent="0.25">
      <c r="A231" s="13">
        <v>230</v>
      </c>
      <c r="B231" s="10"/>
      <c r="C231"/>
      <c r="D231" s="22"/>
      <c r="E231" s="25"/>
      <c r="F231" s="40">
        <v>5</v>
      </c>
      <c r="G231"/>
    </row>
    <row r="232" spans="1:7" x14ac:dyDescent="0.25">
      <c r="A232" s="13">
        <v>231</v>
      </c>
      <c r="B232" s="10"/>
      <c r="C232"/>
      <c r="D232" s="22"/>
      <c r="E232" s="25"/>
      <c r="F232" s="40">
        <v>5</v>
      </c>
      <c r="G232"/>
    </row>
    <row r="233" spans="1:7" x14ac:dyDescent="0.25">
      <c r="A233" s="13">
        <v>232</v>
      </c>
      <c r="B233" s="10"/>
      <c r="C233"/>
      <c r="D233" s="22"/>
      <c r="E233" s="25"/>
      <c r="F233" s="40">
        <v>5</v>
      </c>
      <c r="G233"/>
    </row>
    <row r="234" spans="1:7" x14ac:dyDescent="0.25">
      <c r="A234" s="13">
        <v>233</v>
      </c>
      <c r="B234" s="10"/>
      <c r="C234"/>
      <c r="D234" s="22"/>
      <c r="E234" s="25"/>
      <c r="F234" s="40">
        <v>5</v>
      </c>
      <c r="G234"/>
    </row>
    <row r="235" spans="1:7" x14ac:dyDescent="0.25">
      <c r="A235" s="13">
        <v>234</v>
      </c>
      <c r="B235" s="10"/>
      <c r="C235"/>
      <c r="D235" s="22"/>
      <c r="E235" s="27"/>
      <c r="F235" s="40">
        <v>5</v>
      </c>
      <c r="G235"/>
    </row>
    <row r="236" spans="1:7" x14ac:dyDescent="0.25">
      <c r="A236" s="13">
        <v>235</v>
      </c>
      <c r="B236" s="10"/>
      <c r="C236"/>
      <c r="D236" s="22"/>
      <c r="E236" s="27"/>
      <c r="F236" s="40">
        <v>2121.73</v>
      </c>
      <c r="G236"/>
    </row>
    <row r="237" spans="1:7" x14ac:dyDescent="0.25">
      <c r="A237" s="13">
        <v>236</v>
      </c>
      <c r="B237" s="10"/>
      <c r="C237"/>
      <c r="D237" s="22"/>
      <c r="E237" s="25"/>
      <c r="F237" s="40">
        <v>33</v>
      </c>
      <c r="G237"/>
    </row>
    <row r="238" spans="1:7" x14ac:dyDescent="0.25">
      <c r="A238" s="13">
        <v>237</v>
      </c>
      <c r="B238" s="10"/>
      <c r="C238"/>
      <c r="D238" s="22"/>
      <c r="E238" s="25"/>
      <c r="F238" s="40">
        <v>60</v>
      </c>
      <c r="G238"/>
    </row>
    <row r="239" spans="1:7" x14ac:dyDescent="0.25">
      <c r="A239" s="13">
        <v>238</v>
      </c>
      <c r="B239" s="10"/>
      <c r="C239"/>
      <c r="D239" s="22"/>
      <c r="E239" s="25"/>
      <c r="F239" s="40">
        <v>5</v>
      </c>
      <c r="G239"/>
    </row>
    <row r="240" spans="1:7" x14ac:dyDescent="0.25">
      <c r="A240" s="13">
        <v>239</v>
      </c>
      <c r="B240" s="10"/>
      <c r="C240"/>
      <c r="D240" s="22"/>
      <c r="E240" s="25"/>
      <c r="F240" s="40">
        <v>170</v>
      </c>
      <c r="G240"/>
    </row>
    <row r="241" spans="1:7" x14ac:dyDescent="0.25">
      <c r="A241" s="13">
        <v>240</v>
      </c>
      <c r="B241" s="10"/>
      <c r="C241"/>
      <c r="D241" s="22"/>
      <c r="E241" s="25"/>
      <c r="F241" s="40">
        <v>5</v>
      </c>
      <c r="G241"/>
    </row>
    <row r="242" spans="1:7" x14ac:dyDescent="0.25">
      <c r="A242" s="13">
        <v>241</v>
      </c>
      <c r="B242" s="10"/>
      <c r="C242"/>
      <c r="D242" s="22"/>
      <c r="E242" s="25"/>
      <c r="F242" s="40">
        <v>205</v>
      </c>
      <c r="G242"/>
    </row>
    <row r="243" spans="1:7" x14ac:dyDescent="0.25">
      <c r="A243" s="13">
        <v>242</v>
      </c>
      <c r="B243" s="10"/>
      <c r="C243"/>
      <c r="D243" s="22"/>
      <c r="E243" s="25"/>
      <c r="F243" s="40">
        <v>5</v>
      </c>
      <c r="G243"/>
    </row>
    <row r="244" spans="1:7" x14ac:dyDescent="0.25">
      <c r="A244" s="13">
        <v>243</v>
      </c>
      <c r="B244" s="10"/>
      <c r="C244"/>
      <c r="D244" s="22"/>
      <c r="E244" s="25"/>
      <c r="F244" s="40">
        <v>66</v>
      </c>
      <c r="G244"/>
    </row>
    <row r="245" spans="1:7" x14ac:dyDescent="0.25">
      <c r="A245" s="13">
        <v>244</v>
      </c>
      <c r="B245" s="10"/>
      <c r="C245"/>
      <c r="D245" s="22"/>
      <c r="E245" s="25"/>
      <c r="F245" s="40">
        <v>5</v>
      </c>
      <c r="G245"/>
    </row>
    <row r="246" spans="1:7" x14ac:dyDescent="0.25">
      <c r="A246" s="13">
        <v>245</v>
      </c>
      <c r="B246" s="10"/>
      <c r="C246"/>
      <c r="D246" s="22"/>
      <c r="E246" s="25"/>
      <c r="F246" s="40">
        <v>5</v>
      </c>
      <c r="G246"/>
    </row>
    <row r="247" spans="1:7" x14ac:dyDescent="0.25">
      <c r="A247" s="13">
        <v>246</v>
      </c>
      <c r="B247" s="10"/>
      <c r="C247"/>
      <c r="D247" s="22"/>
      <c r="E247" s="25"/>
      <c r="F247" s="40">
        <v>5</v>
      </c>
      <c r="G247"/>
    </row>
    <row r="248" spans="1:7" x14ac:dyDescent="0.25">
      <c r="A248" s="13">
        <v>247</v>
      </c>
      <c r="B248" s="10"/>
      <c r="C248"/>
      <c r="D248" s="22"/>
      <c r="E248" s="25"/>
      <c r="F248" s="40">
        <v>35</v>
      </c>
      <c r="G248"/>
    </row>
    <row r="249" spans="1:7" x14ac:dyDescent="0.25">
      <c r="A249" s="13">
        <v>248</v>
      </c>
      <c r="B249" s="10"/>
      <c r="C249"/>
      <c r="D249" s="22"/>
      <c r="E249" s="25"/>
      <c r="F249" s="40">
        <v>5</v>
      </c>
    </row>
    <row r="250" spans="1:7" x14ac:dyDescent="0.25">
      <c r="A250" s="13">
        <v>249</v>
      </c>
      <c r="B250" s="10"/>
      <c r="C250"/>
      <c r="D250" s="22"/>
      <c r="E250" s="25"/>
      <c r="F250" s="40">
        <v>5</v>
      </c>
    </row>
    <row r="251" spans="1:7" x14ac:dyDescent="0.25">
      <c r="A251" s="13">
        <v>250</v>
      </c>
      <c r="B251" s="10"/>
      <c r="C251"/>
      <c r="D251" s="22"/>
      <c r="E251" s="25"/>
      <c r="F251" s="40">
        <v>225</v>
      </c>
    </row>
    <row r="252" spans="1:7" x14ac:dyDescent="0.25">
      <c r="A252" s="41"/>
      <c r="B252" s="10"/>
      <c r="D252" s="22"/>
      <c r="F252" s="40">
        <v>239</v>
      </c>
    </row>
    <row r="253" spans="1:7" x14ac:dyDescent="0.25">
      <c r="A253" s="41"/>
      <c r="B253" s="10"/>
      <c r="D253" s="22"/>
      <c r="F253" s="40">
        <v>255</v>
      </c>
    </row>
    <row r="254" spans="1:7" x14ac:dyDescent="0.25">
      <c r="A254" s="41"/>
      <c r="B254" s="10"/>
      <c r="C254"/>
      <c r="D254" s="22"/>
      <c r="F254" s="40">
        <v>28</v>
      </c>
    </row>
    <row r="255" spans="1:7" x14ac:dyDescent="0.25">
      <c r="A255" s="41"/>
      <c r="B255" s="10"/>
      <c r="D255" s="22"/>
      <c r="F255" s="40">
        <v>250</v>
      </c>
    </row>
    <row r="256" spans="1:7" x14ac:dyDescent="0.25">
      <c r="A256" s="41"/>
      <c r="B256" s="10"/>
      <c r="D256" s="22"/>
      <c r="F256" s="40">
        <v>13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15D4-E63C-421B-9DE6-1EB40D037316}">
  <sheetPr codeName="Hoja6"/>
  <dimension ref="A1:D12"/>
  <sheetViews>
    <sheetView workbookViewId="0">
      <selection activeCell="C18" sqref="C18"/>
    </sheetView>
  </sheetViews>
  <sheetFormatPr baseColWidth="10" defaultRowHeight="15" x14ac:dyDescent="0.25"/>
  <cols>
    <col min="1" max="1" width="21.85546875" style="14" customWidth="1"/>
    <col min="2" max="2" width="21.28515625" style="14" customWidth="1"/>
    <col min="3" max="3" width="72.5703125" customWidth="1"/>
    <col min="4" max="4" width="33.28515625" customWidth="1"/>
  </cols>
  <sheetData>
    <row r="1" spans="1:4" x14ac:dyDescent="0.25">
      <c r="A1" s="17" t="s">
        <v>824</v>
      </c>
      <c r="B1" s="17" t="s">
        <v>825</v>
      </c>
      <c r="C1" s="17" t="s">
        <v>826</v>
      </c>
      <c r="D1" s="17" t="s">
        <v>829</v>
      </c>
    </row>
    <row r="2" spans="1:4" x14ac:dyDescent="0.25">
      <c r="A2" s="16" t="s">
        <v>373</v>
      </c>
      <c r="B2" s="16" t="s">
        <v>821</v>
      </c>
      <c r="C2" s="16" t="s">
        <v>837</v>
      </c>
      <c r="D2" s="16" t="s">
        <v>827</v>
      </c>
    </row>
    <row r="3" spans="1:4" x14ac:dyDescent="0.25">
      <c r="A3" s="16" t="s">
        <v>373</v>
      </c>
      <c r="B3" s="16" t="s">
        <v>830</v>
      </c>
      <c r="C3" s="16" t="s">
        <v>838</v>
      </c>
      <c r="D3" s="16" t="s">
        <v>827</v>
      </c>
    </row>
    <row r="4" spans="1:4" x14ac:dyDescent="0.25">
      <c r="A4" s="16" t="s">
        <v>374</v>
      </c>
      <c r="B4" s="16" t="s">
        <v>831</v>
      </c>
      <c r="C4" s="16" t="s">
        <v>839</v>
      </c>
      <c r="D4" s="16" t="s">
        <v>827</v>
      </c>
    </row>
    <row r="5" spans="1:4" x14ac:dyDescent="0.25">
      <c r="A5" s="16" t="s">
        <v>374</v>
      </c>
      <c r="B5" s="16" t="s">
        <v>832</v>
      </c>
      <c r="C5" s="16" t="s">
        <v>840</v>
      </c>
      <c r="D5" s="16" t="s">
        <v>827</v>
      </c>
    </row>
    <row r="6" spans="1:4" x14ac:dyDescent="0.25">
      <c r="A6" s="16" t="s">
        <v>374</v>
      </c>
      <c r="B6" s="16" t="s">
        <v>822</v>
      </c>
      <c r="C6" s="16" t="s">
        <v>841</v>
      </c>
      <c r="D6" s="16" t="s">
        <v>827</v>
      </c>
    </row>
    <row r="7" spans="1:4" x14ac:dyDescent="0.25">
      <c r="A7" s="16" t="s">
        <v>833</v>
      </c>
      <c r="B7" s="16" t="s">
        <v>823</v>
      </c>
      <c r="C7" s="16" t="s">
        <v>842</v>
      </c>
      <c r="D7" s="16" t="s">
        <v>827</v>
      </c>
    </row>
    <row r="8" spans="1:4" x14ac:dyDescent="0.25">
      <c r="A8" s="16" t="s">
        <v>833</v>
      </c>
      <c r="B8" s="16" t="s">
        <v>834</v>
      </c>
      <c r="C8" s="16" t="s">
        <v>843</v>
      </c>
      <c r="D8" s="16" t="s">
        <v>827</v>
      </c>
    </row>
    <row r="9" spans="1:4" x14ac:dyDescent="0.25">
      <c r="A9" s="16" t="s">
        <v>833</v>
      </c>
      <c r="B9" s="16" t="s">
        <v>835</v>
      </c>
      <c r="C9" s="16" t="s">
        <v>844</v>
      </c>
      <c r="D9" s="16" t="s">
        <v>827</v>
      </c>
    </row>
    <row r="10" spans="1:4" x14ac:dyDescent="0.25">
      <c r="A10" s="16" t="s">
        <v>833</v>
      </c>
      <c r="B10" s="16" t="s">
        <v>834</v>
      </c>
      <c r="C10" s="16" t="s">
        <v>845</v>
      </c>
      <c r="D10" s="16" t="s">
        <v>827</v>
      </c>
    </row>
    <row r="11" spans="1:4" x14ac:dyDescent="0.25">
      <c r="A11" s="16" t="s">
        <v>833</v>
      </c>
      <c r="B11" s="16" t="s">
        <v>836</v>
      </c>
      <c r="C11" s="16" t="s">
        <v>394</v>
      </c>
      <c r="D11" s="16" t="s">
        <v>827</v>
      </c>
    </row>
    <row r="12" spans="1:4" x14ac:dyDescent="0.25">
      <c r="A12" s="16" t="s">
        <v>833</v>
      </c>
      <c r="B12" s="16" t="s">
        <v>828</v>
      </c>
      <c r="C12" s="16" t="s">
        <v>846</v>
      </c>
      <c r="D12" s="16" t="s">
        <v>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CBCE-50D2-4740-B363-D2D6EA08B482}">
  <sheetPr codeName="Hoja7"/>
  <dimension ref="A1:F3"/>
  <sheetViews>
    <sheetView workbookViewId="0">
      <selection activeCell="F4" sqref="F4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6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  <c r="F1" t="s">
        <v>1508</v>
      </c>
    </row>
    <row r="2" spans="1:6" x14ac:dyDescent="0.25">
      <c r="A2" s="14" t="s">
        <v>1152</v>
      </c>
      <c r="B2" s="30" t="str">
        <f>VLOOKUP(A2,tmat,2,FALSE)</f>
        <v>Poste de Madera de 30'</v>
      </c>
      <c r="C2" s="14" t="s">
        <v>3</v>
      </c>
      <c r="D2" s="14">
        <v>1</v>
      </c>
      <c r="E2" s="14">
        <v>1</v>
      </c>
      <c r="F2" s="30">
        <f>VLOOKUP(A2, Materiales!B:F, 5, FALSE)</f>
        <v>6700</v>
      </c>
    </row>
    <row r="3" spans="1:6" x14ac:dyDescent="0.25">
      <c r="E3" s="14" t="s">
        <v>1509</v>
      </c>
      <c r="F3">
        <f>SUM(F2)</f>
        <v>6700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056572-726F-4E12-8B9E-395D3ECACE42}">
          <x14:formula1>
            <xm:f>Materiales!$B$2:$B$259</xm:f>
          </x14:formula1>
          <xm:sqref>A2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6C66-9BFC-4C86-A16E-8523ED9CEE4A}">
  <sheetPr codeName="Hoja8"/>
  <dimension ref="A1:E2"/>
  <sheetViews>
    <sheetView workbookViewId="0">
      <selection activeCell="A2" sqref="A2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1153</v>
      </c>
      <c r="B2" s="30" t="str">
        <f>VLOOKUP(A2,tmat,2,FALSE)</f>
        <v>Poste de Madera de 35'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1A1A36-E5ED-4E0B-A641-FAEE6A4BD8FE}">
          <x14:formula1>
            <xm:f>Materiales!$B$2:$B$259</xm:f>
          </x14:formula1>
          <xm:sqref>A2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CA85-D675-4CB7-A1D0-700FA821DBD8}">
  <sheetPr codeName="Hoja9"/>
  <dimension ref="A1:E2"/>
  <sheetViews>
    <sheetView workbookViewId="0">
      <selection activeCell="B25" sqref="B25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1154</v>
      </c>
      <c r="B2" s="30" t="str">
        <f>VLOOKUP(A2,tmat,2,FALSE)</f>
        <v>Poste de Madera de 40'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4C4E3E-6580-45C0-AF07-C551F7BCC2D7}">
          <x14:formula1>
            <xm:f>Materiales!$B$2:$B$259</xm:f>
          </x14:formula1>
          <xm:sqref>A2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652E-B8D1-47D7-B461-73A446723844}">
  <sheetPr codeName="Hoja10"/>
  <dimension ref="A1:E2"/>
  <sheetViews>
    <sheetView workbookViewId="0">
      <selection activeCell="C26" sqref="C26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1155</v>
      </c>
      <c r="B2" s="30" t="str">
        <f>VLOOKUP(A2,tmat,2,FALSE)</f>
        <v>Poste de Madera de 45'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492B16-B981-4159-85DA-CFF0FAF9A95A}">
          <x14:formula1>
            <xm:f>Materiales!$B$2:$B$259</xm:f>
          </x14:formula1>
          <xm:sqref>A2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5B8E-1F38-4C59-A069-C5C9CFC37631}">
  <sheetPr codeName="Hoja11"/>
  <dimension ref="A1:E2"/>
  <sheetViews>
    <sheetView workbookViewId="0">
      <selection activeCell="B9" sqref="B9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1156</v>
      </c>
      <c r="B2" s="30" t="str">
        <f>VLOOKUP(A2,tmat,2,FALSE)</f>
        <v>Poste de Concreto de 30'.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F6C0D9-8FE0-4179-A2DB-0279012F1099}">
          <x14:formula1>
            <xm:f>Materiales!$B$2:$B$259</xm:f>
          </x14:formula1>
          <xm:sqref>A2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1158</v>
      </c>
      <c r="B2" t="str">
        <f>VLOOKUP(A2,tmat,2,FALSE)</f>
        <v>Poste de Concreto de 40'.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D3F6F1-E9BE-4FED-A396-D724E764592A}">
          <x14:formula1>
            <xm:f>Materiales!$B$2:$B$259</xm:f>
          </x14:formula1>
          <xm:sqref>A2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8385-6DBB-4EEE-B7D3-60564B82A9A9}">
  <sheetPr codeName="Hoja13"/>
  <dimension ref="A1:E2"/>
  <sheetViews>
    <sheetView workbookViewId="0">
      <selection activeCell="B13" sqref="B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1159</v>
      </c>
      <c r="B2" t="str">
        <f>VLOOKUP(A2,tmat,2,FALSE)</f>
        <v>Poste de Concreto de 45'.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285922-49F4-4787-B8B5-773173C38ECB}">
          <x14:formula1>
            <xm:f>Materiales!$B$2:$B$259</xm:f>
          </x14:formula1>
          <xm:sqref>A2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12E6-8F6F-4AFF-8F9D-053499ACF1D8}">
  <sheetPr codeName="Hoja198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1446</v>
      </c>
      <c r="B2" t="str">
        <f>VLOOKUP(A2,tmat,2,FALSE)</f>
        <v>Poste de Concreto de 50'.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7087E6-3E07-44C1-B17C-96109EBA17C7}">
          <x14:formula1>
            <xm:f>Materiales!$B$2:$B$259</xm:f>
          </x14:formula1>
          <xm:sqref>A2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10CF-A831-46A9-A9B1-42E1E1DC6E08}">
  <sheetPr codeName="Hoja14"/>
  <dimension ref="A1:E2"/>
  <sheetViews>
    <sheetView workbookViewId="0">
      <selection activeCell="H26" sqref="H2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1160</v>
      </c>
      <c r="B2" t="str">
        <f>VLOOKUP(A2,tmat,2,FALSE)</f>
        <v>Poste de Concreto de 30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394494-F565-4F41-BA26-FE0534B3575E}">
          <x14:formula1>
            <xm:f>Materiales!$B$2:$B$259</xm:f>
          </x14:formula1>
          <xm:sqref>A2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F886-23BA-4E91-BDEC-5C525BE3161C}">
  <sheetPr codeName="Hoja15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1161</v>
      </c>
      <c r="B2" t="str">
        <f>VLOOKUP(A2,tmat,2,FALSE)</f>
        <v>Poste de Concreto de 35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6EDA7E-BE19-47FF-8B6A-7E558B3F4567}">
          <x14:formula1>
            <xm:f>Materiales!$B$2:$B$259</xm:f>
          </x14:formula1>
          <xm:sqref>A2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D613-F356-4A53-A2FB-9BB617C2AA49}">
  <sheetPr codeName="Hoja16"/>
  <dimension ref="A1:E2"/>
  <sheetViews>
    <sheetView workbookViewId="0">
      <selection activeCell="I26" sqref="I2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1162</v>
      </c>
      <c r="B2" t="str">
        <f>VLOOKUP(A2,tmat,2,FALSE)</f>
        <v>Poste de Concreto de 40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AB5FA5-6F5E-4D36-84E3-A0D22E6E8065}">
          <x14:formula1>
            <xm:f>Materiales!$B$2:$B$259</xm:f>
          </x14:formula1>
          <xm:sqref>A2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AD2C-E2F1-4DF6-9BFC-2C6C7D49C69C}">
  <sheetPr codeName="Hoja17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1163</v>
      </c>
      <c r="B2" t="str">
        <f>VLOOKUP(A2,tmat,2,FALSE)</f>
        <v>Poste de Concreto de 45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096C3E-690C-483D-B5AB-0D4164D52E67}">
          <x14:formula1>
            <xm:f>Materiales!$B$2:$B$259</xm:f>
          </x14:formula1>
          <xm:sqref>A2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6494-0E03-4472-84F2-CCB69094C5EB}">
  <sheetPr codeName="Hoja197"/>
  <dimension ref="A1:E2"/>
  <sheetViews>
    <sheetView workbookViewId="0">
      <selection activeCell="K26" sqref="K2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1444</v>
      </c>
      <c r="B2" t="str">
        <f>VLOOKUP(A2,tmat,2,FALSE)</f>
        <v>Poste de Concreto de 50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8B403E-275F-481C-A561-B03402DD8A8A}">
          <x14:formula1>
            <xm:f>Materiales!$B$2:$B$259</xm:f>
          </x14:formula1>
          <xm:sqref>A2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3FA9-FF6D-4B4A-9616-CB28525BF84F}">
  <sheetPr codeName="Hoja18"/>
  <dimension ref="A1:E2"/>
  <sheetViews>
    <sheetView workbookViewId="0">
      <selection activeCell="G20" sqref="G2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1164</v>
      </c>
      <c r="B2" t="str">
        <f>VLOOKUP(A2,tmat,2,FALSE)</f>
        <v>Poste de Tubular de 30 Pies.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6ECDDA-E5ED-4422-9931-8A3B7F0E742F}">
          <x14:formula1>
            <xm:f>Materiales!$B$2:$B$259</xm:f>
          </x14:formula1>
          <xm:sqref>A2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62D5-D8D9-4C7F-8245-D52C18131D03}">
  <sheetPr codeName="Hoja19"/>
  <dimension ref="A1:E2"/>
  <sheetViews>
    <sheetView workbookViewId="0">
      <selection activeCell="B9" sqref="B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1165</v>
      </c>
      <c r="B2" t="str">
        <f>VLOOKUP(A2,tmat,2,FALSE)</f>
        <v>Poste de Tubular de 35 Pies.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0708A0-2B0C-46BF-ACC2-D9DBA0A5BF50}">
          <x14:formula1>
            <xm:f>Materiales!$B$2:$B$259</xm:f>
          </x14:formula1>
          <xm:sqref>A2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4D0F-8CB8-4A9C-8888-0D593CF60ABE}">
  <sheetPr codeName="Hoja20"/>
  <dimension ref="A1:E2"/>
  <sheetViews>
    <sheetView workbookViewId="0">
      <selection activeCell="B9" sqref="B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1166</v>
      </c>
      <c r="B2" t="str">
        <f>VLOOKUP(A2,tmat,2,FALSE)</f>
        <v>Poste de Tubular de 40 Pies.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0572EB-886B-48E0-AF61-AC2FF6BF2C4A}">
          <x14:formula1>
            <xm:f>Materiales!$B$2:$B$259</xm:f>
          </x14:formula1>
          <xm:sqref>A2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7405-E142-434B-B25B-77F49191E50D}">
  <sheetPr codeName="Hoja21"/>
  <dimension ref="A1:E2"/>
  <sheetViews>
    <sheetView workbookViewId="0">
      <selection activeCell="I2" sqref="I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1167</v>
      </c>
      <c r="B2" t="str">
        <f>VLOOKUP(A2,tmat,2,FALSE)</f>
        <v>Poste de Tubular de 45 Pies.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A2EA0-8835-41C5-9499-34DF1B06E598}">
          <x14:formula1>
            <xm:f>Materiales!$B$2:$B$259</xm:f>
          </x14:formula1>
          <xm:sqref>A2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17F9-6D2D-486E-973F-AD89241C0E5A}">
  <sheetPr codeName="Hoja193"/>
  <dimension ref="A1:E2"/>
  <sheetViews>
    <sheetView workbookViewId="0">
      <selection activeCell="H16" sqref="H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1433</v>
      </c>
      <c r="B2" t="str">
        <f>VLOOKUP(A2,tmat,2,FALSE)</f>
        <v>Poste de Concreto de 40 Pies Autosoportado, 2,000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E6156D-E375-41CE-8F36-55B531313071}">
          <x14:formula1>
            <xm:f>Materiales!$B$2:$B$259</xm:f>
          </x14:formula1>
          <xm:sqref>A2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A544-EDBE-408C-A97E-BCD50D14DCB8}">
  <sheetPr codeName="Hoja194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1435</v>
      </c>
      <c r="B2" t="str">
        <f>VLOOKUP(A2,tmat,2,FALSE)</f>
        <v>Poste de Concreto de 40 Pies Autosoportado, 3,000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6282A9-0BAB-47A6-85C5-B4AC4605F707}">
          <x14:formula1>
            <xm:f>Materiales!$B$2:$B$259</xm:f>
          </x14:formula1>
          <xm:sqref>A2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3CE7-934E-4CDF-925E-F25B3172E1D7}">
  <sheetPr codeName="Hoja196"/>
  <dimension ref="A1:E2"/>
  <sheetViews>
    <sheetView workbookViewId="0">
      <selection activeCell="B15" sqref="B1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1436</v>
      </c>
      <c r="B2" t="str">
        <f>VLOOKUP(A2,tmat,2,FALSE)</f>
        <v>Poste de Concreto de 45 Pies Autosoportado, 2,000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8D5660-1F91-4A13-A029-78B1E9A6B071}">
          <x14:formula1>
            <xm:f>Materiales!$B$2:$B$259</xm:f>
          </x14:formula1>
          <xm:sqref>A2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55BB-AC9F-4C78-A646-ED27DBBEEBA5}">
  <sheetPr codeName="Hoja195"/>
  <dimension ref="A1:E2"/>
  <sheetViews>
    <sheetView workbookViewId="0">
      <selection activeCell="B12" sqref="B1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1437</v>
      </c>
      <c r="B2" t="str">
        <f>VLOOKUP(A2,tmat,2,FALSE)</f>
        <v>Poste de Concreto de 45 Pies Autosoportado, 3,000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89E78-C973-47BD-8D78-30908DE2F448}">
          <x14:formula1>
            <xm:f>Materiales!$B$2:$B$259</xm:f>
          </x14:formula1>
          <xm:sqref>A2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344F-7385-4F18-85EE-E3697393EE3A}">
  <sheetPr codeName="Hoja22"/>
  <dimension ref="A1:E2"/>
  <sheetViews>
    <sheetView workbookViewId="0">
      <selection activeCell="H13" sqref="H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1438</v>
      </c>
      <c r="B2" t="str">
        <f>VLOOKUP(A2,tmat,2,FALSE)</f>
        <v>Poste de Concreto de 50 Pies Autosoportado, 2,000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130FA2-E84F-430F-B4BA-998CDB6EEEC0}">
          <x14:formula1>
            <xm:f>Materiales!$B$2:$B$259</xm:f>
          </x14:formula1>
          <xm:sqref>A2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B3C2-98AE-4FF7-99CC-B73B79AC195F}">
  <sheetPr codeName="Hoja23"/>
  <dimension ref="A1:E2"/>
  <sheetViews>
    <sheetView workbookViewId="0">
      <selection activeCell="B8" sqref="B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1439</v>
      </c>
      <c r="B2" t="str">
        <f>VLOOKUP(A2,tmat,2,FALSE)</f>
        <v>Poste de Concreto de 50 Pies Autosoportado, 3,000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B2AF44-D9E5-4854-A289-87E05A7586D8}">
          <x14:formula1>
            <xm:f>Materiales!$B$2:$B$259</xm:f>
          </x14:formula1>
          <xm:sqref>A2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F10"/>
  <sheetViews>
    <sheetView workbookViewId="0">
      <selection activeCell="F11" sqref="F11"/>
    </sheetView>
  </sheetViews>
  <sheetFormatPr baseColWidth="10" defaultRowHeight="15" x14ac:dyDescent="0.25"/>
  <cols>
    <col min="2" max="2" width="57.5703125" customWidth="1"/>
  </cols>
  <sheetData>
    <row r="1" spans="1:6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  <c r="F1" t="s">
        <v>1510</v>
      </c>
    </row>
    <row r="2" spans="1:6" x14ac:dyDescent="0.25">
      <c r="A2" t="s">
        <v>336</v>
      </c>
      <c r="B2" t="str">
        <f t="shared" ref="B2:B9" si="0">VLOOKUP(A2,tmat,2,FALSE)</f>
        <v>Aislador de Espiga ANSI C 55-4</v>
      </c>
      <c r="C2" t="s">
        <v>3</v>
      </c>
      <c r="D2">
        <v>0</v>
      </c>
      <c r="E2">
        <v>1</v>
      </c>
      <c r="F2">
        <f>VLOOKUP(A2, Materiales!B:F, 5, FALSE)</f>
        <v>260</v>
      </c>
    </row>
    <row r="3" spans="1:6" x14ac:dyDescent="0.25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  <c r="F3">
        <f>VLOOKUP(A3, Materiales!B:F, 5, FALSE)</f>
        <v>278.88</v>
      </c>
    </row>
    <row r="4" spans="1:6" x14ac:dyDescent="0.25">
      <c r="A4" t="s">
        <v>5</v>
      </c>
      <c r="B4" t="str">
        <f t="shared" si="0"/>
        <v>Alambre de Amarre N° 6</v>
      </c>
      <c r="C4" t="s">
        <v>1227</v>
      </c>
      <c r="D4">
        <v>10</v>
      </c>
      <c r="E4">
        <v>10</v>
      </c>
      <c r="F4">
        <f>VLOOKUP(A4, Materiales!B:F, 5, FALSE)</f>
        <v>2.17</v>
      </c>
    </row>
    <row r="5" spans="1:6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2</v>
      </c>
      <c r="E5">
        <v>2</v>
      </c>
      <c r="F5">
        <f>VLOOKUP(A5, Materiales!B:F, 5, FALSE)</f>
        <v>10.37</v>
      </c>
    </row>
    <row r="6" spans="1:6" x14ac:dyDescent="0.25">
      <c r="A6" t="s">
        <v>7</v>
      </c>
      <c r="B6" t="str">
        <f t="shared" si="0"/>
        <v>Espiga Punta de Poste tipo Recta, 34.5 KV, L=20" Rosca 1-3/8"</v>
      </c>
      <c r="C6" t="s">
        <v>3</v>
      </c>
      <c r="D6">
        <v>1</v>
      </c>
      <c r="E6">
        <v>0</v>
      </c>
      <c r="F6">
        <f>VLOOKUP(A6, Materiales!B:F, 5, FALSE)</f>
        <v>153.85</v>
      </c>
    </row>
    <row r="7" spans="1:6" x14ac:dyDescent="0.25">
      <c r="A7" t="s">
        <v>8</v>
      </c>
      <c r="B7" t="str">
        <f t="shared" si="0"/>
        <v>Espiga Punta de Poste tipo Recta, 13.8 KV, L=18" Rosca 1"</v>
      </c>
      <c r="C7" t="s">
        <v>3</v>
      </c>
      <c r="D7">
        <v>0</v>
      </c>
      <c r="E7">
        <v>1</v>
      </c>
      <c r="F7">
        <f>VLOOKUP(A7, Materiales!B:F, 5, FALSE)</f>
        <v>5</v>
      </c>
    </row>
    <row r="8" spans="1:6" x14ac:dyDescent="0.25">
      <c r="A8" t="s">
        <v>9</v>
      </c>
      <c r="B8" t="str">
        <f t="shared" si="0"/>
        <v>Perno de Máquina de 5/8" x 10"</v>
      </c>
      <c r="C8" t="s">
        <v>3</v>
      </c>
      <c r="D8">
        <v>2</v>
      </c>
      <c r="E8">
        <v>2</v>
      </c>
      <c r="F8">
        <f>VLOOKUP(A8, Materiales!B:F, 5, FALSE)</f>
        <v>28.1</v>
      </c>
    </row>
    <row r="9" spans="1:6" x14ac:dyDescent="0.25">
      <c r="A9" t="s">
        <v>441</v>
      </c>
      <c r="B9" t="str">
        <f t="shared" si="0"/>
        <v>Varilla de Armar Preformado para Cable ASCR # 1/0 AWG</v>
      </c>
      <c r="C9" t="s">
        <v>3</v>
      </c>
      <c r="D9">
        <v>1</v>
      </c>
      <c r="E9">
        <v>1</v>
      </c>
      <c r="F9">
        <f>VLOOKUP(A9, Materiales!B:F, 5, FALSE)</f>
        <v>156.82</v>
      </c>
    </row>
    <row r="10" spans="1:6" x14ac:dyDescent="0.25">
      <c r="F10">
        <f>SUM(F2:F9)</f>
        <v>895.19</v>
      </c>
    </row>
  </sheetData>
  <dataValidations count="1">
    <dataValidation type="list" allowBlank="1" showInputMessage="1" showErrorMessage="1" sqref="A3:A9" xr:uid="{7302BF40-AF6A-4D0F-A05F-3E5BA81C2249}">
      <formula1>"cod"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F408A4-9C29-4B16-A7FC-00262F1719F0}">
          <x14:formula1>
            <xm:f>Materiales!$B$2:$B$259</xm:f>
          </x14:formula1>
          <xm:sqref>A2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4675-8CD2-4178-9410-90D9F84A5350}">
  <sheetPr codeName="Hoja24"/>
  <dimension ref="A1:E16"/>
  <sheetViews>
    <sheetView workbookViewId="0">
      <selection activeCell="H21" sqref="H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847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3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1227</v>
      </c>
      <c r="D4">
        <v>10</v>
      </c>
      <c r="E4">
        <v>10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s="14" t="s">
        <v>3</v>
      </c>
      <c r="D5">
        <v>3</v>
      </c>
      <c r="E5">
        <v>3</v>
      </c>
    </row>
    <row r="6" spans="1:5" x14ac:dyDescent="0.25">
      <c r="A6" t="s">
        <v>339</v>
      </c>
      <c r="B6" t="str">
        <f t="shared" si="0"/>
        <v>Crucete de Madera Curada de 4" x 5" x 96" /Voladizo</v>
      </c>
      <c r="C6" s="14" t="s">
        <v>3</v>
      </c>
      <c r="D6">
        <v>1</v>
      </c>
      <c r="E6">
        <v>1</v>
      </c>
    </row>
    <row r="7" spans="1:5" x14ac:dyDescent="0.25">
      <c r="A7" t="s">
        <v>337</v>
      </c>
      <c r="B7" t="str">
        <f t="shared" si="0"/>
        <v>Espiga para Cruceta de Madera, L=6" Rosca 1", Φ = 3/4"</v>
      </c>
      <c r="C7" s="14" t="s">
        <v>3</v>
      </c>
      <c r="D7">
        <v>1</v>
      </c>
      <c r="E7">
        <v>0</v>
      </c>
    </row>
    <row r="8" spans="1:5" x14ac:dyDescent="0.25">
      <c r="A8" t="s">
        <v>338</v>
      </c>
      <c r="B8" t="str">
        <f t="shared" si="0"/>
        <v>Espiga para Cruceta de Madera, L=8" Rosca 1-3/8", Φ = 3/4"</v>
      </c>
      <c r="C8" s="14" t="s">
        <v>3</v>
      </c>
      <c r="D8">
        <v>0</v>
      </c>
      <c r="E8">
        <v>1</v>
      </c>
    </row>
    <row r="9" spans="1:5" x14ac:dyDescent="0.25">
      <c r="A9" t="s">
        <v>340</v>
      </c>
      <c r="B9" t="str">
        <f t="shared" si="0"/>
        <v>Perno de Máquina de 5/8" x 8"</v>
      </c>
      <c r="C9" s="14" t="s">
        <v>3</v>
      </c>
      <c r="D9">
        <v>1</v>
      </c>
      <c r="E9">
        <v>1</v>
      </c>
    </row>
    <row r="10" spans="1:5" x14ac:dyDescent="0.25">
      <c r="A10" t="s">
        <v>348</v>
      </c>
      <c r="B10" t="str">
        <f t="shared" si="0"/>
        <v>Perno de Máquina de 5/8" x 14"</v>
      </c>
      <c r="C10" s="14" t="s">
        <v>3</v>
      </c>
      <c r="D10">
        <v>1</v>
      </c>
      <c r="E10">
        <v>1</v>
      </c>
    </row>
    <row r="11" spans="1:5" x14ac:dyDescent="0.25">
      <c r="A11" t="s">
        <v>341</v>
      </c>
      <c r="B11" t="str">
        <f t="shared" si="0"/>
        <v>Puntal Angular de 60", 1-3/4" x 1-3/4" x 3/16"</v>
      </c>
      <c r="C11" s="14" t="s">
        <v>3</v>
      </c>
      <c r="D11">
        <v>1</v>
      </c>
      <c r="E11">
        <v>1</v>
      </c>
    </row>
    <row r="12" spans="1:5" x14ac:dyDescent="0.25">
      <c r="A12" t="s">
        <v>1174</v>
      </c>
      <c r="B12" t="str">
        <f t="shared" si="0"/>
        <v>Perno de Máquina de 1/2" x 10"</v>
      </c>
      <c r="C12" s="14" t="s">
        <v>3</v>
      </c>
      <c r="D12">
        <v>1</v>
      </c>
      <c r="E12">
        <v>1</v>
      </c>
    </row>
    <row r="13" spans="1:5" x14ac:dyDescent="0.25">
      <c r="A13" t="s">
        <v>441</v>
      </c>
      <c r="B13" t="str">
        <f t="shared" si="0"/>
        <v>Varilla de Armar Preformado para Cable ASCR # 1/0 AWG</v>
      </c>
      <c r="C13" s="14" t="s">
        <v>3</v>
      </c>
      <c r="D13">
        <v>1</v>
      </c>
      <c r="E13">
        <v>1</v>
      </c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dataValidations count="1">
    <dataValidation type="list" allowBlank="1" showInputMessage="1" showErrorMessage="1" sqref="A14:A16" xr:uid="{12BE997E-B9D0-4EB9-9746-1D40DE063206}">
      <formula1>"cod"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92B375-1806-49F5-B94C-AE8211D99518}">
          <x14:formula1>
            <xm:f>Materiales!$B$2:$B$259</xm:f>
          </x14:formula1>
          <xm:sqref>A2:A13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E9"/>
  <sheetViews>
    <sheetView workbookViewId="0">
      <selection activeCell="C5" sqref="C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9" si="0">VLOOKUP(A2,tmat,2,FALSE)</f>
        <v>Aislador de Espiga ANSI C 55-4</v>
      </c>
      <c r="C2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2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1227</v>
      </c>
      <c r="D4">
        <v>10</v>
      </c>
      <c r="E4">
        <v>10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2</v>
      </c>
      <c r="E5">
        <v>2</v>
      </c>
    </row>
    <row r="6" spans="1:5" x14ac:dyDescent="0.25">
      <c r="A6" t="s">
        <v>8</v>
      </c>
      <c r="B6" t="str">
        <f t="shared" si="0"/>
        <v>Espiga Punta de Poste tipo Recta, 13.8 KV, L=18" Rosca 1"</v>
      </c>
      <c r="C6" t="s">
        <v>3</v>
      </c>
      <c r="D6">
        <v>0</v>
      </c>
      <c r="E6">
        <v>2</v>
      </c>
    </row>
    <row r="7" spans="1:5" x14ac:dyDescent="0.25">
      <c r="A7" t="s">
        <v>406</v>
      </c>
      <c r="B7" t="str">
        <f t="shared" si="0"/>
        <v>Espiga para Punta de Poste tipo Escuadra, 34.5 KV, L=21" Rosca 1-3/8"</v>
      </c>
      <c r="C7" t="s">
        <v>3</v>
      </c>
      <c r="D7">
        <v>2</v>
      </c>
      <c r="E7">
        <v>0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2</v>
      </c>
      <c r="E8">
        <v>2</v>
      </c>
    </row>
    <row r="9" spans="1:5" x14ac:dyDescent="0.25">
      <c r="A9" t="s">
        <v>441</v>
      </c>
      <c r="B9" t="str">
        <f t="shared" si="0"/>
        <v>Varilla de Armar Preformado para Cable ASCR # 1/0 AWG</v>
      </c>
      <c r="C9" s="14" t="s">
        <v>3</v>
      </c>
      <c r="D9">
        <v>1</v>
      </c>
      <c r="E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88CA51-583F-4F96-B40C-AE4A0601FE57}">
          <x14:formula1>
            <xm:f>Materiales!$B$2:$B$259</xm:f>
          </x14:formula1>
          <xm:sqref>A2:A9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B58D-1CB2-4B82-9AA9-BDC6A555B889}">
  <sheetPr codeName="Hoja25"/>
  <dimension ref="A1:E6"/>
  <sheetViews>
    <sheetView workbookViewId="0">
      <selection activeCell="B21" sqref="B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376</v>
      </c>
      <c r="B2" t="str">
        <f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25">
      <c r="A3" t="s">
        <v>6</v>
      </c>
      <c r="B3" t="str">
        <f>VLOOKUP(A3,tmat,2,FALSE)</f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335</v>
      </c>
      <c r="B4" t="str">
        <f>VLOOKUP(A4,tmat,2,FALSE)</f>
        <v>Grapa Terminal tipo Recto para Conductor (1/0 - 4/0)</v>
      </c>
      <c r="C4" t="s">
        <v>3</v>
      </c>
      <c r="D4">
        <v>1</v>
      </c>
      <c r="E4">
        <v>1</v>
      </c>
    </row>
    <row r="5" spans="1:5" x14ac:dyDescent="0.25">
      <c r="A5" t="s">
        <v>334</v>
      </c>
      <c r="B5" t="str">
        <f>VLOOKUP(A5,tmat,2,FALSE)</f>
        <v>Perno de Rosca Corrida 5/8" x 12"</v>
      </c>
      <c r="C5" t="s">
        <v>3</v>
      </c>
      <c r="D5">
        <v>1</v>
      </c>
      <c r="E5">
        <v>1</v>
      </c>
    </row>
    <row r="6" spans="1:5" x14ac:dyDescent="0.25">
      <c r="A6" t="s">
        <v>333</v>
      </c>
      <c r="B6" t="str">
        <f>VLOOKUP(A6,tmat,2,FALSE)</f>
        <v>Tuerca de Ojo de 5/8"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5AF49B-32C9-497A-A939-BEA48B8F2BD1}">
          <x14:formula1>
            <xm:f>Materiales!$B$2:$B$259</xm:f>
          </x14:formula1>
          <xm:sqref>A2:A3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240A-8B44-4258-B082-7C438B7D0F7E}">
  <sheetPr codeName="Hoja26"/>
  <dimension ref="A1:E12"/>
  <sheetViews>
    <sheetView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376</v>
      </c>
      <c r="B2" t="str">
        <f t="shared" ref="B2:B12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25">
      <c r="A3" t="s">
        <v>336</v>
      </c>
      <c r="B3" t="str">
        <f t="shared" si="0"/>
        <v>Aislador de Espiga ANSI C 55-4</v>
      </c>
      <c r="C3" t="s">
        <v>3</v>
      </c>
      <c r="D3">
        <v>0</v>
      </c>
      <c r="E3">
        <v>1</v>
      </c>
    </row>
    <row r="4" spans="1:5" x14ac:dyDescent="0.25">
      <c r="A4" t="s">
        <v>4</v>
      </c>
      <c r="B4" t="str">
        <f t="shared" si="0"/>
        <v>Aislador de Espiga ANSI C 56-3</v>
      </c>
      <c r="C4" t="s">
        <v>3</v>
      </c>
      <c r="D4">
        <v>1</v>
      </c>
      <c r="E4">
        <v>0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5</v>
      </c>
      <c r="E5">
        <v>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2</v>
      </c>
      <c r="E6">
        <v>2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7</v>
      </c>
      <c r="B8" t="str">
        <f t="shared" si="0"/>
        <v>Espiga Punta de Poste tipo Recta, 34.5 KV, L=20" Rosca 1-3/8"</v>
      </c>
      <c r="C8" t="s">
        <v>3</v>
      </c>
      <c r="D8">
        <v>1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t="s">
        <v>3</v>
      </c>
      <c r="D9">
        <v>0</v>
      </c>
      <c r="E9">
        <v>1</v>
      </c>
    </row>
    <row r="10" spans="1:5" x14ac:dyDescent="0.25">
      <c r="A10" t="s">
        <v>335</v>
      </c>
      <c r="B10" t="str">
        <f t="shared" si="0"/>
        <v>Grapa Terminal tipo Recto para Conductor (1/0 - 4/0)</v>
      </c>
      <c r="C10" t="s">
        <v>3</v>
      </c>
      <c r="D10">
        <v>1</v>
      </c>
      <c r="E10">
        <v>1</v>
      </c>
    </row>
    <row r="11" spans="1:5" x14ac:dyDescent="0.25">
      <c r="A11" t="s">
        <v>9</v>
      </c>
      <c r="B11" t="str">
        <f t="shared" si="0"/>
        <v>Perno de Máquina de 5/8" x 10"</v>
      </c>
      <c r="C11" t="s">
        <v>3</v>
      </c>
      <c r="D11">
        <v>2</v>
      </c>
      <c r="E11">
        <v>2</v>
      </c>
    </row>
    <row r="12" spans="1:5" x14ac:dyDescent="0.25">
      <c r="A12" t="s">
        <v>333</v>
      </c>
      <c r="B12" t="str">
        <f t="shared" si="0"/>
        <v>Tuerca de Ojo de 5/8"</v>
      </c>
      <c r="C12" t="s">
        <v>3</v>
      </c>
      <c r="D12">
        <v>1</v>
      </c>
      <c r="E1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A967FC-1115-439E-868C-32CC00A9F4B3}">
          <x14:formula1>
            <xm:f>Materiales!$B$2:$B$259</xm:f>
          </x14:formula1>
          <xm:sqref>A2:A10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9EB8-1F8D-4172-8E1C-6341D1D04861}">
  <sheetPr codeName="Hoja27"/>
  <dimension ref="A1:E10"/>
  <sheetViews>
    <sheetView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0" si="0">VLOOKUP(A2,tmat,2,FALSE)</f>
        <v>Aislador de Espiga ANSI C 55-4</v>
      </c>
      <c r="C2" t="s">
        <v>3</v>
      </c>
      <c r="D2">
        <v>1</v>
      </c>
      <c r="E2">
        <v>0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5</v>
      </c>
      <c r="E5">
        <v>5</v>
      </c>
    </row>
    <row r="6" spans="1:5" x14ac:dyDescent="0.25">
      <c r="A6" t="s">
        <v>389</v>
      </c>
      <c r="B6" t="str">
        <f t="shared" si="0"/>
        <v>Conector de Compresión YC 25A25 (1/0-1/0)</v>
      </c>
      <c r="C6" t="s">
        <v>3</v>
      </c>
      <c r="D6">
        <v>1</v>
      </c>
      <c r="E6">
        <v>1</v>
      </c>
    </row>
    <row r="7" spans="1:5" x14ac:dyDescent="0.25">
      <c r="A7" t="s">
        <v>337</v>
      </c>
      <c r="B7" t="str">
        <f t="shared" si="0"/>
        <v>Espiga para Cruceta de Madera, L=6" Rosca 1", Φ = 3/4"</v>
      </c>
      <c r="C7" t="s">
        <v>3</v>
      </c>
      <c r="D7">
        <v>0</v>
      </c>
      <c r="E7">
        <v>1</v>
      </c>
    </row>
    <row r="8" spans="1:5" x14ac:dyDescent="0.25">
      <c r="A8" t="s">
        <v>338</v>
      </c>
      <c r="B8" t="str">
        <f t="shared" si="0"/>
        <v>Espiga para Cruceta de Madera, L=8" Rosca 1-3/8", Φ = 3/4"</v>
      </c>
      <c r="C8" t="s">
        <v>3</v>
      </c>
      <c r="D8">
        <v>1</v>
      </c>
      <c r="E8">
        <v>0</v>
      </c>
    </row>
    <row r="9" spans="1:5" x14ac:dyDescent="0.25">
      <c r="A9" t="s">
        <v>335</v>
      </c>
      <c r="B9" t="str">
        <f t="shared" si="0"/>
        <v>Grapa Terminal tipo Recto para Conductor (1/0 - 4/0)</v>
      </c>
      <c r="C9" t="s">
        <v>3</v>
      </c>
      <c r="D9">
        <v>1</v>
      </c>
      <c r="E9">
        <v>1</v>
      </c>
    </row>
    <row r="10" spans="1:5" x14ac:dyDescent="0.25">
      <c r="A10" t="s">
        <v>333</v>
      </c>
      <c r="B10" t="str">
        <f t="shared" si="0"/>
        <v>Tuerca de Ojo de 5/8"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B4CD07-6AB2-44F0-9575-27EBE7265AA1}">
          <x14:formula1>
            <xm:f>Materiales!$B$2:$B$259</xm:f>
          </x14:formula1>
          <xm:sqref>A2:A10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94D8-9413-4DDB-8DF0-5E3C457433A4}">
  <sheetPr codeName="Hoja28"/>
  <dimension ref="A1:E13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376</v>
      </c>
      <c r="B2" t="str">
        <f t="shared" ref="B2:B7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389</v>
      </c>
      <c r="B4" t="str">
        <f t="shared" si="0"/>
        <v>Conector de Compresión YC 25A25 (1/0-1/0)</v>
      </c>
      <c r="C4" t="s">
        <v>3</v>
      </c>
      <c r="D4">
        <v>1</v>
      </c>
      <c r="E4">
        <v>1</v>
      </c>
    </row>
    <row r="5" spans="1:5" x14ac:dyDescent="0.25">
      <c r="A5" t="s">
        <v>335</v>
      </c>
      <c r="B5" t="str">
        <f t="shared" si="0"/>
        <v>Grapa Terminal tipo Recto para Conductor (1/0 - 4/0)</v>
      </c>
      <c r="C5" t="s">
        <v>3</v>
      </c>
      <c r="D5">
        <v>1</v>
      </c>
      <c r="E5">
        <v>1</v>
      </c>
    </row>
    <row r="6" spans="1:5" x14ac:dyDescent="0.25">
      <c r="A6" t="s">
        <v>334</v>
      </c>
      <c r="B6" t="str">
        <f t="shared" si="0"/>
        <v>Perno de Rosca Corrida 5/8" x 12"</v>
      </c>
      <c r="C6" t="s">
        <v>3</v>
      </c>
      <c r="D6">
        <v>1</v>
      </c>
      <c r="E6">
        <v>1</v>
      </c>
    </row>
    <row r="7" spans="1:5" x14ac:dyDescent="0.25">
      <c r="A7" t="s">
        <v>333</v>
      </c>
      <c r="B7" t="str">
        <f t="shared" si="0"/>
        <v>Tuerca de Ojo de 5/8"</v>
      </c>
      <c r="C7" t="s">
        <v>3</v>
      </c>
      <c r="D7">
        <v>1</v>
      </c>
      <c r="E7">
        <v>1</v>
      </c>
    </row>
    <row r="10" spans="1:5" x14ac:dyDescent="0.25">
      <c r="A10" s="15"/>
      <c r="B10" s="9"/>
      <c r="D10" s="14"/>
      <c r="E10" s="14"/>
    </row>
    <row r="11" spans="1:5" x14ac:dyDescent="0.25">
      <c r="A11" s="15"/>
    </row>
    <row r="12" spans="1:5" x14ac:dyDescent="0.25">
      <c r="A12" s="15"/>
    </row>
    <row r="13" spans="1:5" x14ac:dyDescent="0.25">
      <c r="A13" s="1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472ABD-FD4C-4C61-8168-85EA4DDD0952}">
          <x14:formula1>
            <xm:f>Materiales!$B$2:$B$259</xm:f>
          </x14:formula1>
          <xm:sqref>A2:A7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29EC-80DF-4A1E-880A-A820F5FB92F3}">
  <sheetPr codeName="Hoja29"/>
  <dimension ref="A1:E10"/>
  <sheetViews>
    <sheetView workbookViewId="0">
      <selection activeCell="F24" sqref="F2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376</v>
      </c>
      <c r="B2" t="str">
        <f t="shared" ref="B2:B10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12</v>
      </c>
      <c r="E3">
        <v>12</v>
      </c>
    </row>
    <row r="4" spans="1:5" x14ac:dyDescent="0.25">
      <c r="A4" t="s">
        <v>339</v>
      </c>
      <c r="B4" t="str">
        <f t="shared" si="0"/>
        <v>Crucete de Madera Curada de 4" x 5" x 96" /Voladizo</v>
      </c>
      <c r="C4" t="s">
        <v>3</v>
      </c>
      <c r="D4">
        <v>2</v>
      </c>
      <c r="E4">
        <v>2</v>
      </c>
    </row>
    <row r="5" spans="1:5" x14ac:dyDescent="0.25">
      <c r="A5" t="s">
        <v>335</v>
      </c>
      <c r="B5" t="str">
        <f t="shared" si="0"/>
        <v>Grapa Terminal tipo Recto para Conductor (1/0 - 4/0)</v>
      </c>
      <c r="C5" t="s">
        <v>3</v>
      </c>
      <c r="D5">
        <v>1</v>
      </c>
      <c r="E5">
        <v>1</v>
      </c>
    </row>
    <row r="6" spans="1:5" x14ac:dyDescent="0.25">
      <c r="A6" t="s">
        <v>340</v>
      </c>
      <c r="B6" t="str">
        <f t="shared" si="0"/>
        <v>Perno de Máquina de 5/8" x 8"</v>
      </c>
      <c r="C6" t="s">
        <v>3</v>
      </c>
      <c r="D6">
        <v>2</v>
      </c>
      <c r="E6">
        <v>2</v>
      </c>
    </row>
    <row r="7" spans="1:5" x14ac:dyDescent="0.25">
      <c r="A7" t="s">
        <v>419</v>
      </c>
      <c r="B7" t="str">
        <f t="shared" si="0"/>
        <v>Perno de Rosca Corrida 5/8" x 20"</v>
      </c>
      <c r="C7" t="s">
        <v>3</v>
      </c>
      <c r="D7">
        <v>3</v>
      </c>
      <c r="E7">
        <v>3</v>
      </c>
    </row>
    <row r="8" spans="1:5" x14ac:dyDescent="0.25">
      <c r="A8" t="s">
        <v>341</v>
      </c>
      <c r="B8" t="str">
        <f t="shared" si="0"/>
        <v>Puntal Angular de 60", 1-3/4" x 1-3/4" x 3/16"</v>
      </c>
      <c r="C8" t="s">
        <v>3</v>
      </c>
      <c r="D8">
        <v>2</v>
      </c>
      <c r="E8">
        <v>2</v>
      </c>
    </row>
    <row r="9" spans="1:5" x14ac:dyDescent="0.25">
      <c r="A9" t="s">
        <v>1174</v>
      </c>
      <c r="B9" t="str">
        <f t="shared" si="0"/>
        <v>Perno de Máquina de 1/2" x 10"</v>
      </c>
      <c r="C9" t="s">
        <v>3</v>
      </c>
      <c r="D9">
        <v>2</v>
      </c>
      <c r="E9">
        <v>2</v>
      </c>
    </row>
    <row r="10" spans="1:5" x14ac:dyDescent="0.25">
      <c r="A10" t="s">
        <v>333</v>
      </c>
      <c r="B10" t="str">
        <f t="shared" si="0"/>
        <v>Tuerca de Ojo de 5/8"</v>
      </c>
      <c r="C10" t="s">
        <v>3</v>
      </c>
      <c r="D10">
        <v>1</v>
      </c>
      <c r="E10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B36F11-B6E9-4559-A80A-A8BF8E513C38}">
          <x14:formula1>
            <xm:f>Materiales!$B$2:$B$259</xm:f>
          </x14:formula1>
          <xm:sqref>A2:A10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42F-90E0-4063-91D8-4B921B1EFCA1}">
  <sheetPr codeName="Hoja30"/>
  <dimension ref="A1:E13"/>
  <sheetViews>
    <sheetView workbookViewId="0">
      <selection activeCell="B7" sqref="B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5</v>
      </c>
      <c r="E5">
        <v>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4</v>
      </c>
      <c r="E6">
        <v>4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7</v>
      </c>
      <c r="B8" t="str">
        <f t="shared" si="0"/>
        <v>Espiga Punta de Poste tipo Recta, 34.5 KV, L=20" Rosca 1-3/8"</v>
      </c>
      <c r="C8" t="s">
        <v>3</v>
      </c>
      <c r="D8">
        <v>1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t="s">
        <v>3</v>
      </c>
      <c r="D9">
        <v>0</v>
      </c>
      <c r="E9">
        <v>1</v>
      </c>
    </row>
    <row r="10" spans="1:5" x14ac:dyDescent="0.25">
      <c r="A10" t="s">
        <v>335</v>
      </c>
      <c r="B10" t="str">
        <f t="shared" si="0"/>
        <v>Grapa Terminal tipo Recto para Conductor (1/0 - 4/0)</v>
      </c>
      <c r="C10" t="s">
        <v>3</v>
      </c>
      <c r="D10">
        <v>2</v>
      </c>
      <c r="E10">
        <v>2</v>
      </c>
    </row>
    <row r="11" spans="1:5" x14ac:dyDescent="0.25">
      <c r="A11" t="s">
        <v>9</v>
      </c>
      <c r="B11" t="str">
        <f t="shared" si="0"/>
        <v>Perno de Máquina de 5/8" x 10"</v>
      </c>
      <c r="C11" t="s">
        <v>3</v>
      </c>
      <c r="D11">
        <v>2</v>
      </c>
      <c r="E11">
        <v>2</v>
      </c>
    </row>
    <row r="12" spans="1:5" x14ac:dyDescent="0.25">
      <c r="A12" t="s">
        <v>334</v>
      </c>
      <c r="B12" t="str">
        <f t="shared" si="0"/>
        <v>Perno de Rosca Corrida 5/8" x 12"</v>
      </c>
      <c r="C12" t="s">
        <v>3</v>
      </c>
      <c r="D12">
        <v>1</v>
      </c>
      <c r="E12">
        <v>1</v>
      </c>
    </row>
    <row r="13" spans="1:5" x14ac:dyDescent="0.25">
      <c r="A13" t="s">
        <v>333</v>
      </c>
      <c r="B13" t="str">
        <f t="shared" si="0"/>
        <v>Tuerca de Ojo de 5/8"</v>
      </c>
      <c r="C13" t="s">
        <v>3</v>
      </c>
      <c r="D13">
        <v>2</v>
      </c>
      <c r="E13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6A9A10-D9E2-471D-A08B-AFFEFE1D180F}">
          <x14:formula1>
            <xm:f>Materiales!$B$2:$B$259</xm:f>
          </x14:formula1>
          <xm:sqref>A2:A13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3AF9-553F-4965-A47E-117583E08306}">
  <sheetPr codeName="Hoja31"/>
  <dimension ref="A1:E16"/>
  <sheetViews>
    <sheetView workbookViewId="0">
      <selection activeCell="G2" sqref="G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906</v>
      </c>
      <c r="B1" t="s">
        <v>907</v>
      </c>
      <c r="C1" t="s">
        <v>908</v>
      </c>
      <c r="D1" s="1" t="s">
        <v>909</v>
      </c>
      <c r="E1" s="1" t="s">
        <v>910</v>
      </c>
    </row>
    <row r="2" spans="1:5" x14ac:dyDescent="0.25">
      <c r="A2" t="s">
        <v>5</v>
      </c>
      <c r="B2" t="str">
        <f t="shared" ref="B2:B16" si="0">VLOOKUP(A2,tmat,2,FALSE)</f>
        <v>Alambre de Amarre N° 6</v>
      </c>
      <c r="C2" t="s">
        <v>1227</v>
      </c>
      <c r="D2">
        <v>5</v>
      </c>
      <c r="E2">
        <v>5</v>
      </c>
    </row>
    <row r="3" spans="1:5" x14ac:dyDescent="0.25">
      <c r="A3" t="s">
        <v>336</v>
      </c>
      <c r="B3" t="str">
        <f t="shared" si="0"/>
        <v>Aislador de Espiga ANSI C 55-4</v>
      </c>
      <c r="C3" t="s">
        <v>3</v>
      </c>
      <c r="D3">
        <v>0</v>
      </c>
      <c r="E3">
        <v>1</v>
      </c>
    </row>
    <row r="4" spans="1:5" x14ac:dyDescent="0.25">
      <c r="A4" t="s">
        <v>4</v>
      </c>
      <c r="B4" t="str">
        <f t="shared" si="0"/>
        <v>Aislador de Espiga ANSI C 56-3</v>
      </c>
      <c r="C4" t="s">
        <v>3</v>
      </c>
      <c r="D4">
        <v>1</v>
      </c>
      <c r="E4">
        <v>0</v>
      </c>
    </row>
    <row r="5" spans="1:5" x14ac:dyDescent="0.25">
      <c r="A5" t="s">
        <v>376</v>
      </c>
      <c r="B5" t="str">
        <f t="shared" si="0"/>
        <v>Aislador de Suspensión ANSI C 52-9</v>
      </c>
      <c r="C5" t="s">
        <v>3</v>
      </c>
      <c r="D5">
        <v>6</v>
      </c>
      <c r="E5">
        <v>4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12</v>
      </c>
      <c r="E6">
        <v>12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339</v>
      </c>
      <c r="B8" t="str">
        <f t="shared" si="0"/>
        <v>Crucete de Madera Curada de 4" x 5" x 96" /Voladizo</v>
      </c>
      <c r="C8" t="s">
        <v>3</v>
      </c>
      <c r="D8">
        <v>2</v>
      </c>
      <c r="E8">
        <v>2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t="s">
        <v>3</v>
      </c>
      <c r="D9">
        <v>0</v>
      </c>
      <c r="E9">
        <v>1</v>
      </c>
    </row>
    <row r="10" spans="1:5" x14ac:dyDescent="0.25">
      <c r="A10" t="s">
        <v>338</v>
      </c>
      <c r="B10" t="str">
        <f t="shared" si="0"/>
        <v>Espiga para Cruceta de Madera, L=8" Rosca 1-3/8", Φ = 3/4"</v>
      </c>
      <c r="C10" t="s">
        <v>3</v>
      </c>
      <c r="D10">
        <v>1</v>
      </c>
      <c r="E10">
        <v>0</v>
      </c>
    </row>
    <row r="11" spans="1:5" x14ac:dyDescent="0.25">
      <c r="A11" t="s">
        <v>335</v>
      </c>
      <c r="B11" t="str">
        <f t="shared" si="0"/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25">
      <c r="A12" t="s">
        <v>340</v>
      </c>
      <c r="B12" t="str">
        <f t="shared" si="0"/>
        <v>Perno de Máquina de 5/8" x 8"</v>
      </c>
      <c r="C12" t="s">
        <v>3</v>
      </c>
      <c r="D12">
        <v>2</v>
      </c>
      <c r="E12">
        <v>2</v>
      </c>
    </row>
    <row r="13" spans="1:5" x14ac:dyDescent="0.25">
      <c r="A13" t="s">
        <v>419</v>
      </c>
      <c r="B13" t="str">
        <f t="shared" si="0"/>
        <v>Perno de Rosca Corrida 5/8" x 20"</v>
      </c>
      <c r="C13" t="s">
        <v>3</v>
      </c>
      <c r="D13">
        <v>3</v>
      </c>
      <c r="E13">
        <v>3</v>
      </c>
    </row>
    <row r="14" spans="1:5" x14ac:dyDescent="0.25">
      <c r="A14" t="s">
        <v>341</v>
      </c>
      <c r="B14" t="str">
        <f t="shared" si="0"/>
        <v>Puntal Angular de 60", 1-3/4" x 1-3/4" x 3/16"</v>
      </c>
      <c r="C14" t="s">
        <v>3</v>
      </c>
      <c r="D14">
        <v>2</v>
      </c>
      <c r="E14">
        <v>2</v>
      </c>
    </row>
    <row r="15" spans="1:5" x14ac:dyDescent="0.25">
      <c r="A15" t="s">
        <v>1174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25">
      <c r="A16" t="s">
        <v>333</v>
      </c>
      <c r="B16" t="str">
        <f t="shared" si="0"/>
        <v>Tuerca de Ojo de 5/8"</v>
      </c>
      <c r="C16" t="s">
        <v>3</v>
      </c>
      <c r="D16">
        <v>2</v>
      </c>
      <c r="E16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BBC296-D8D7-4DA1-8B52-D660B93CB6ED}">
          <x14:formula1>
            <xm:f>Materiales!$B$2:$B$259</xm:f>
          </x14:formula1>
          <xm:sqref>A2:A16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7BEB-C9DD-43A9-80B7-EBE6285AB7DE}">
  <sheetPr codeName="Hoja32"/>
  <dimension ref="A1:E7"/>
  <sheetViews>
    <sheetView workbookViewId="0">
      <selection activeCell="B4" sqref="B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376</v>
      </c>
      <c r="B2" t="str">
        <f t="shared" ref="B2:B7" si="0">VLOOKUP(A2,tmat,2,FALSE)</f>
        <v>Aislador de Suspensión ANSI C 52-9</v>
      </c>
      <c r="C2" t="s">
        <v>3</v>
      </c>
      <c r="D2">
        <v>6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25">
      <c r="A4" t="s">
        <v>389</v>
      </c>
      <c r="B4" t="str">
        <f t="shared" si="0"/>
        <v>Conector de Compresión YC 25A25 (1/0-1/0)</v>
      </c>
      <c r="C4" t="s">
        <v>3</v>
      </c>
      <c r="D4">
        <v>1</v>
      </c>
      <c r="E4">
        <v>1</v>
      </c>
    </row>
    <row r="5" spans="1:5" x14ac:dyDescent="0.25">
      <c r="A5" t="s">
        <v>335</v>
      </c>
      <c r="B5" t="str">
        <f t="shared" si="0"/>
        <v>Grapa Terminal tipo Recto para Conductor (1/0 - 4/0)</v>
      </c>
      <c r="C5" t="s">
        <v>3</v>
      </c>
      <c r="D5">
        <v>2</v>
      </c>
      <c r="E5">
        <v>2</v>
      </c>
    </row>
    <row r="6" spans="1:5" x14ac:dyDescent="0.25">
      <c r="A6" t="s">
        <v>334</v>
      </c>
      <c r="B6" t="str">
        <f t="shared" si="0"/>
        <v>Perno de Rosca Corrida 5/8" x 12"</v>
      </c>
      <c r="C6" t="s">
        <v>3</v>
      </c>
      <c r="D6">
        <v>2</v>
      </c>
      <c r="E6">
        <v>2</v>
      </c>
    </row>
    <row r="7" spans="1:5" x14ac:dyDescent="0.25">
      <c r="A7" t="s">
        <v>333</v>
      </c>
      <c r="B7" t="str">
        <f t="shared" si="0"/>
        <v>Tuerca de Ojo de 5/8"</v>
      </c>
      <c r="C7" t="s">
        <v>3</v>
      </c>
      <c r="D7">
        <v>2</v>
      </c>
      <c r="E7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E6C647-7B44-4704-B6F4-528069E38291}">
          <x14:formula1>
            <xm:f>Materiales!$B$2:$B$259</xm:f>
          </x14:formula1>
          <xm:sqref>A2:A7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4D63-0569-46CD-98ED-2E06291EDA48}">
  <sheetPr codeName="Hoja33"/>
  <dimension ref="A1:E14"/>
  <sheetViews>
    <sheetView workbookViewId="0">
      <selection activeCell="C17" sqref="C1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847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4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10</v>
      </c>
      <c r="E5">
        <v>10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848</v>
      </c>
      <c r="D6">
        <v>4</v>
      </c>
      <c r="E6">
        <v>4</v>
      </c>
    </row>
    <row r="7" spans="1:5" x14ac:dyDescent="0.25">
      <c r="A7" t="s">
        <v>389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25">
      <c r="A8" t="s">
        <v>7</v>
      </c>
      <c r="B8" t="str">
        <f t="shared" si="0"/>
        <v>Espiga Punta de Poste tipo Recta, 34.5 KV, L=20" Rosca 1-3/8"</v>
      </c>
      <c r="C8" s="14" t="s">
        <v>3</v>
      </c>
      <c r="D8">
        <v>1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1</v>
      </c>
    </row>
    <row r="10" spans="1:5" x14ac:dyDescent="0.25">
      <c r="A10" t="s">
        <v>335</v>
      </c>
      <c r="B10" t="str">
        <f t="shared" si="0"/>
        <v>Grapa Terminal tipo Recto para Conductor (1/0 - 4/0)</v>
      </c>
      <c r="C10" s="14" t="s">
        <v>3</v>
      </c>
      <c r="D10">
        <v>1</v>
      </c>
      <c r="E10">
        <v>1</v>
      </c>
    </row>
    <row r="11" spans="1:5" x14ac:dyDescent="0.25">
      <c r="A11" t="s">
        <v>9</v>
      </c>
      <c r="B11" t="str">
        <f t="shared" si="0"/>
        <v>Perno de Máquina de 5/8" x 10"</v>
      </c>
      <c r="C11" s="14" t="s">
        <v>3</v>
      </c>
      <c r="D11">
        <v>2</v>
      </c>
      <c r="E11">
        <v>2</v>
      </c>
    </row>
    <row r="12" spans="1:5" x14ac:dyDescent="0.25">
      <c r="A12" t="s">
        <v>334</v>
      </c>
      <c r="B12" t="str">
        <f t="shared" si="0"/>
        <v>Perno de Rosca Corrida 5/8" x 12"</v>
      </c>
      <c r="C12" s="14" t="s">
        <v>848</v>
      </c>
      <c r="D12">
        <v>1</v>
      </c>
      <c r="E12">
        <v>1</v>
      </c>
    </row>
    <row r="13" spans="1:5" x14ac:dyDescent="0.25">
      <c r="A13" t="s">
        <v>333</v>
      </c>
      <c r="B13" t="str">
        <f t="shared" si="0"/>
        <v>Tuerca de Ojo de 5/8"</v>
      </c>
      <c r="C13" s="14" t="s">
        <v>3</v>
      </c>
      <c r="D13">
        <v>1</v>
      </c>
      <c r="E13">
        <v>1</v>
      </c>
    </row>
    <row r="14" spans="1:5" x14ac:dyDescent="0.25">
      <c r="A14" t="s">
        <v>441</v>
      </c>
      <c r="B14" t="str">
        <f t="shared" si="0"/>
        <v>Varilla de Armar Preformado para Cable ASCR # 1/0 AWG</v>
      </c>
      <c r="C14" s="14" t="s">
        <v>3</v>
      </c>
      <c r="D14">
        <v>1</v>
      </c>
      <c r="E14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EDEBFE-5353-4136-B7A1-7CEDECFB5E08}">
          <x14:formula1>
            <xm:f>Materiales!$B$2:$B$259</xm:f>
          </x14:formula1>
          <xm:sqref>A2:A14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32D0-9F80-4A09-A207-B1B6505DD561}">
  <sheetPr codeName="Hoja34"/>
  <dimension ref="A1:E18"/>
  <sheetViews>
    <sheetView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847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8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s="14" t="s">
        <v>1227</v>
      </c>
      <c r="D5">
        <v>10</v>
      </c>
      <c r="E5">
        <v>10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5</v>
      </c>
      <c r="E6">
        <v>5</v>
      </c>
    </row>
    <row r="7" spans="1:5" x14ac:dyDescent="0.25">
      <c r="A7" t="s">
        <v>339</v>
      </c>
      <c r="B7" t="str">
        <f t="shared" si="0"/>
        <v>Crucete de Madera Curada de 4" x 5" x 96" /Voladizo</v>
      </c>
      <c r="C7" s="14" t="s">
        <v>3</v>
      </c>
      <c r="D7">
        <v>1</v>
      </c>
      <c r="E7">
        <v>1</v>
      </c>
    </row>
    <row r="8" spans="1:5" x14ac:dyDescent="0.25">
      <c r="A8" t="s">
        <v>337</v>
      </c>
      <c r="B8" t="str">
        <f t="shared" si="0"/>
        <v>Espiga para Cruceta de Madera, L=6" Rosca 1", Φ = 3/4"</v>
      </c>
      <c r="C8" s="14" t="s">
        <v>3</v>
      </c>
      <c r="D8">
        <v>0</v>
      </c>
      <c r="E8">
        <v>1</v>
      </c>
    </row>
    <row r="9" spans="1:5" x14ac:dyDescent="0.25">
      <c r="A9" t="s">
        <v>338</v>
      </c>
      <c r="B9" t="str">
        <f t="shared" si="0"/>
        <v>Espiga para Cruceta de Madera, L=8" Rosca 1-3/8", Φ = 3/4"</v>
      </c>
      <c r="C9" s="14" t="s">
        <v>3</v>
      </c>
      <c r="D9">
        <v>1</v>
      </c>
      <c r="E9">
        <v>0</v>
      </c>
    </row>
    <row r="10" spans="1:5" x14ac:dyDescent="0.25">
      <c r="A10" t="s">
        <v>389</v>
      </c>
      <c r="B10" t="str">
        <f t="shared" si="0"/>
        <v>Conector de Compresión YC 25A25 (1/0-1/0)</v>
      </c>
      <c r="C10" s="14" t="s">
        <v>3</v>
      </c>
      <c r="D10">
        <v>1</v>
      </c>
      <c r="E10">
        <v>1</v>
      </c>
    </row>
    <row r="11" spans="1:5" x14ac:dyDescent="0.25">
      <c r="A11" t="s">
        <v>335</v>
      </c>
      <c r="B11" t="str">
        <f t="shared" si="0"/>
        <v>Grapa Terminal tipo Recto para Conductor (1/0 - 4/0)</v>
      </c>
      <c r="C11" s="14" t="s">
        <v>3</v>
      </c>
      <c r="D11">
        <v>1</v>
      </c>
      <c r="E11">
        <v>1</v>
      </c>
    </row>
    <row r="12" spans="1:5" x14ac:dyDescent="0.25">
      <c r="A12" t="s">
        <v>340</v>
      </c>
      <c r="B12" t="str">
        <f t="shared" si="0"/>
        <v>Perno de Máquina de 5/8" x 8"</v>
      </c>
      <c r="C12" s="14" t="s">
        <v>3</v>
      </c>
      <c r="D12">
        <v>1</v>
      </c>
      <c r="E12">
        <v>1</v>
      </c>
    </row>
    <row r="13" spans="1:5" x14ac:dyDescent="0.25">
      <c r="A13" t="s">
        <v>348</v>
      </c>
      <c r="B13" t="str">
        <f t="shared" si="0"/>
        <v>Perno de Máquina de 5/8" x 14"</v>
      </c>
      <c r="C13" s="14" t="s">
        <v>3</v>
      </c>
      <c r="D13">
        <v>1</v>
      </c>
      <c r="E13">
        <v>1</v>
      </c>
    </row>
    <row r="14" spans="1:5" x14ac:dyDescent="0.25">
      <c r="A14" t="s">
        <v>334</v>
      </c>
      <c r="B14" t="str">
        <f t="shared" si="0"/>
        <v>Perno de Rosca Corrida 5/8" x 12"</v>
      </c>
      <c r="C14" s="14" t="s">
        <v>3</v>
      </c>
      <c r="D14">
        <v>1</v>
      </c>
      <c r="E14">
        <v>1</v>
      </c>
    </row>
    <row r="15" spans="1:5" x14ac:dyDescent="0.25">
      <c r="A15" t="s">
        <v>341</v>
      </c>
      <c r="B15" t="str">
        <f t="shared" si="0"/>
        <v>Puntal Angular de 60", 1-3/4" x 1-3/4" x 3/16"</v>
      </c>
      <c r="C15" s="14" t="s">
        <v>3</v>
      </c>
      <c r="D15">
        <v>1</v>
      </c>
      <c r="E15">
        <v>1</v>
      </c>
    </row>
    <row r="16" spans="1:5" x14ac:dyDescent="0.25">
      <c r="A16" t="s">
        <v>1174</v>
      </c>
      <c r="B16" t="str">
        <f t="shared" si="0"/>
        <v>Perno de Máquina de 1/2" x 10"</v>
      </c>
      <c r="C16" s="14" t="s">
        <v>3</v>
      </c>
      <c r="D16">
        <v>1</v>
      </c>
      <c r="E16">
        <v>1</v>
      </c>
    </row>
    <row r="17" spans="1:5" x14ac:dyDescent="0.25">
      <c r="A17" t="s">
        <v>333</v>
      </c>
      <c r="B17" t="str">
        <f t="shared" si="0"/>
        <v>Tuerca de Ojo de 5/8"</v>
      </c>
      <c r="C17" s="14" t="s">
        <v>3</v>
      </c>
      <c r="D17">
        <v>1</v>
      </c>
      <c r="E17">
        <v>1</v>
      </c>
    </row>
    <row r="18" spans="1:5" x14ac:dyDescent="0.25">
      <c r="A18" t="s">
        <v>441</v>
      </c>
      <c r="B18" t="str">
        <f t="shared" si="0"/>
        <v>Varilla de Armar Preformado para Cable ASCR # 1/0 AWG</v>
      </c>
      <c r="C18" s="14" t="s">
        <v>3</v>
      </c>
      <c r="D18">
        <v>1</v>
      </c>
      <c r="E18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8683FC-CFCC-4AAB-A4DE-0557FA733789}">
          <x14:formula1>
            <xm:f>Materiales!$B$2:$B$259</xm:f>
          </x14:formula1>
          <xm:sqref>A2:A18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22B6-11C1-49E9-8905-94E66C5B7F4B}">
  <sheetPr codeName="Hoja35"/>
  <dimension ref="A1:E18"/>
  <sheetViews>
    <sheetView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847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4" si="0">VLOOKUP(A2,tmat,2,FALSE)</f>
        <v>Aislador de Espiga ANSI C 55-4</v>
      </c>
      <c r="C2" s="14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2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s="14" t="s">
        <v>1227</v>
      </c>
      <c r="D5">
        <v>10</v>
      </c>
      <c r="E5">
        <v>10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2</v>
      </c>
      <c r="E6">
        <v>2</v>
      </c>
    </row>
    <row r="7" spans="1:5" x14ac:dyDescent="0.25">
      <c r="A7" t="s">
        <v>389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25">
      <c r="A8" t="s">
        <v>406</v>
      </c>
      <c r="B8" t="str">
        <f t="shared" si="0"/>
        <v>Espiga para Punta de Poste tipo Escuadra, 34.5 KV, L=21" Rosca 1-3/8"</v>
      </c>
      <c r="C8" s="14" t="s">
        <v>3</v>
      </c>
      <c r="D8">
        <v>2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2</v>
      </c>
    </row>
    <row r="10" spans="1:5" x14ac:dyDescent="0.25">
      <c r="A10" t="s">
        <v>335</v>
      </c>
      <c r="B10" t="str">
        <f t="shared" si="0"/>
        <v>Grapa Terminal tipo Recto para Conductor (1/0 - 4/0)</v>
      </c>
      <c r="C10" s="14" t="s">
        <v>3</v>
      </c>
      <c r="D10">
        <v>1</v>
      </c>
      <c r="E10">
        <v>1</v>
      </c>
    </row>
    <row r="11" spans="1:5" x14ac:dyDescent="0.25">
      <c r="A11" t="s">
        <v>332</v>
      </c>
      <c r="B11" t="str">
        <f t="shared" si="0"/>
        <v>Perno de Máquina de 5/8" x 12"</v>
      </c>
      <c r="C11" s="14" t="s">
        <v>3</v>
      </c>
      <c r="D11">
        <v>2</v>
      </c>
      <c r="E11">
        <v>2</v>
      </c>
    </row>
    <row r="12" spans="1:5" x14ac:dyDescent="0.25">
      <c r="A12" t="s">
        <v>334</v>
      </c>
      <c r="B12" t="str">
        <f t="shared" si="0"/>
        <v>Perno de Rosca Corrida 5/8" x 12"</v>
      </c>
      <c r="C12" s="14" t="s">
        <v>3</v>
      </c>
      <c r="D12">
        <v>1</v>
      </c>
      <c r="E12">
        <v>1</v>
      </c>
    </row>
    <row r="13" spans="1:5" x14ac:dyDescent="0.25">
      <c r="A13" t="s">
        <v>333</v>
      </c>
      <c r="B13" t="str">
        <f t="shared" si="0"/>
        <v>Tuerca de Ojo de 5/8"</v>
      </c>
      <c r="C13" s="14" t="s">
        <v>3</v>
      </c>
      <c r="D13">
        <v>1</v>
      </c>
      <c r="E13">
        <v>1</v>
      </c>
    </row>
    <row r="14" spans="1:5" x14ac:dyDescent="0.25">
      <c r="A14" t="s">
        <v>441</v>
      </c>
      <c r="B14" t="str">
        <f t="shared" si="0"/>
        <v>Varilla de Armar Preformado para Cable ASCR # 1/0 AWG</v>
      </c>
      <c r="C14" s="14" t="s">
        <v>3</v>
      </c>
      <c r="D14">
        <v>1</v>
      </c>
      <c r="E14">
        <v>1</v>
      </c>
    </row>
    <row r="15" spans="1:5" x14ac:dyDescent="0.25">
      <c r="C15" s="14"/>
    </row>
    <row r="16" spans="1:5" x14ac:dyDescent="0.25">
      <c r="C16" s="14"/>
    </row>
    <row r="17" spans="3:3" x14ac:dyDescent="0.25">
      <c r="C17" s="14"/>
    </row>
    <row r="18" spans="3:3" x14ac:dyDescent="0.25">
      <c r="C18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4114A5-DC4A-477C-85B6-719D3F2C22D3}">
          <x14:formula1>
            <xm:f>Materiales!$B$2:$B$259</xm:f>
          </x14:formula1>
          <xm:sqref>A2:A14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79D4-8D0F-43AA-AF17-7CAD50279258}">
  <sheetPr codeName="Hoja36"/>
  <dimension ref="A1:E19"/>
  <sheetViews>
    <sheetView zoomScale="90" zoomScaleNormal="90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847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9" si="0">VLOOKUP(A2,tmat,2,FALSE)</f>
        <v>Aislador de Espiga ANSI C 55-4</v>
      </c>
      <c r="C2" s="14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2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s="14" t="s">
        <v>1227</v>
      </c>
      <c r="D5">
        <v>10</v>
      </c>
      <c r="E5">
        <v>10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14</v>
      </c>
      <c r="E6">
        <v>14</v>
      </c>
    </row>
    <row r="7" spans="1:5" x14ac:dyDescent="0.25">
      <c r="A7" t="s">
        <v>389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25">
      <c r="A8" t="s">
        <v>339</v>
      </c>
      <c r="B8" t="str">
        <f t="shared" si="0"/>
        <v>Crucete de Madera Curada de 4" x 5" x 96" /Voladizo</v>
      </c>
      <c r="C8" s="14" t="s">
        <v>3</v>
      </c>
      <c r="D8">
        <v>2</v>
      </c>
      <c r="E8">
        <v>2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s="14" t="s">
        <v>3</v>
      </c>
      <c r="D9">
        <v>0</v>
      </c>
      <c r="E9">
        <v>2</v>
      </c>
    </row>
    <row r="10" spans="1:5" x14ac:dyDescent="0.25">
      <c r="A10" t="s">
        <v>338</v>
      </c>
      <c r="B10" t="str">
        <f t="shared" si="0"/>
        <v>Espiga para Cruceta de Madera, L=8" Rosca 1-3/8", Φ = 3/4"</v>
      </c>
      <c r="C10" s="14" t="s">
        <v>3</v>
      </c>
      <c r="D10">
        <v>2</v>
      </c>
      <c r="E10">
        <v>0</v>
      </c>
    </row>
    <row r="11" spans="1:5" x14ac:dyDescent="0.25">
      <c r="A11" t="s">
        <v>335</v>
      </c>
      <c r="B11" t="str">
        <f t="shared" si="0"/>
        <v>Grapa Terminal tipo Recto para Conductor (1/0 - 4/0)</v>
      </c>
      <c r="C11" s="14" t="s">
        <v>3</v>
      </c>
      <c r="D11">
        <v>1</v>
      </c>
      <c r="E11">
        <v>1</v>
      </c>
    </row>
    <row r="12" spans="1:5" x14ac:dyDescent="0.25">
      <c r="A12" t="s">
        <v>423</v>
      </c>
      <c r="B12" t="str">
        <f t="shared" si="0"/>
        <v>Pletina Espaciadora para Crucete Madera 1/2" x 4" x 24"</v>
      </c>
      <c r="C12" s="14" t="s">
        <v>3</v>
      </c>
      <c r="D12">
        <v>2</v>
      </c>
      <c r="E12">
        <v>0</v>
      </c>
    </row>
    <row r="13" spans="1:5" x14ac:dyDescent="0.25">
      <c r="A13" t="s">
        <v>340</v>
      </c>
      <c r="B13" t="str">
        <f t="shared" si="0"/>
        <v>Perno de Máquina de 5/8" x 8"</v>
      </c>
      <c r="C13" s="14" t="s">
        <v>3</v>
      </c>
      <c r="D13">
        <v>4</v>
      </c>
      <c r="E13">
        <v>4</v>
      </c>
    </row>
    <row r="14" spans="1:5" x14ac:dyDescent="0.25">
      <c r="A14" t="s">
        <v>334</v>
      </c>
      <c r="B14" t="str">
        <f t="shared" si="0"/>
        <v>Perno de Rosca Corrida 5/8" x 12"</v>
      </c>
      <c r="C14" s="14" t="s">
        <v>3</v>
      </c>
      <c r="D14">
        <v>1</v>
      </c>
      <c r="E14">
        <v>1</v>
      </c>
    </row>
    <row r="15" spans="1:5" x14ac:dyDescent="0.25">
      <c r="A15" t="s">
        <v>419</v>
      </c>
      <c r="B15" t="str">
        <f t="shared" si="0"/>
        <v>Perno de Rosca Corrida 5/8" x 20"</v>
      </c>
      <c r="C15" s="14" t="s">
        <v>3</v>
      </c>
      <c r="D15">
        <v>3</v>
      </c>
      <c r="E15">
        <v>3</v>
      </c>
    </row>
    <row r="16" spans="1:5" x14ac:dyDescent="0.25">
      <c r="A16" t="s">
        <v>341</v>
      </c>
      <c r="B16" t="str">
        <f t="shared" si="0"/>
        <v>Puntal Angular de 60", 1-3/4" x 1-3/4" x 3/16"</v>
      </c>
      <c r="C16" s="14" t="s">
        <v>3</v>
      </c>
      <c r="D16">
        <v>2</v>
      </c>
      <c r="E16">
        <v>2</v>
      </c>
    </row>
    <row r="17" spans="1:5" x14ac:dyDescent="0.25">
      <c r="A17" t="s">
        <v>1174</v>
      </c>
      <c r="B17" t="str">
        <f t="shared" si="0"/>
        <v>Perno de Máquina de 1/2" x 10"</v>
      </c>
      <c r="C17" s="14" t="s">
        <v>3</v>
      </c>
      <c r="D17">
        <v>2</v>
      </c>
      <c r="E17">
        <v>2</v>
      </c>
    </row>
    <row r="18" spans="1:5" x14ac:dyDescent="0.25">
      <c r="A18" t="s">
        <v>333</v>
      </c>
      <c r="B18" t="str">
        <f t="shared" si="0"/>
        <v>Tuerca de Ojo de 5/8"</v>
      </c>
      <c r="C18" s="14" t="s">
        <v>3</v>
      </c>
      <c r="D18">
        <v>1</v>
      </c>
      <c r="E18">
        <v>1</v>
      </c>
    </row>
    <row r="19" spans="1:5" x14ac:dyDescent="0.25">
      <c r="A19" t="s">
        <v>441</v>
      </c>
      <c r="B19" t="str">
        <f t="shared" si="0"/>
        <v>Varilla de Armar Preformado para Cable ASCR # 1/0 AWG</v>
      </c>
      <c r="C19" s="14" t="s">
        <v>3</v>
      </c>
      <c r="D19">
        <v>1</v>
      </c>
      <c r="E19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F93F19-C30D-4281-A9F9-51417F5B67BB}">
          <x14:formula1>
            <xm:f>Materiales!$B$2:$B$259</xm:f>
          </x14:formula1>
          <xm:sqref>A2:A19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C0C0-3153-4058-9BAF-FBCB66249CB8}">
  <sheetPr codeName="Hoja37"/>
  <dimension ref="A1:E18"/>
  <sheetViews>
    <sheetView zoomScale="90" zoomScaleNormal="90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847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3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s="1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s="14" t="s">
        <v>1227</v>
      </c>
      <c r="D5">
        <v>5</v>
      </c>
      <c r="E5">
        <v>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6</v>
      </c>
      <c r="E6">
        <v>6</v>
      </c>
    </row>
    <row r="7" spans="1:5" x14ac:dyDescent="0.25">
      <c r="A7" t="s">
        <v>389</v>
      </c>
      <c r="B7" t="str">
        <f t="shared" si="0"/>
        <v>Conector de Compresión YC 25A25 (1/0-1/0)</v>
      </c>
      <c r="C7" s="14" t="s">
        <v>3</v>
      </c>
      <c r="D7">
        <v>2</v>
      </c>
      <c r="E7">
        <v>2</v>
      </c>
    </row>
    <row r="8" spans="1:5" x14ac:dyDescent="0.25">
      <c r="A8" t="s">
        <v>7</v>
      </c>
      <c r="B8" t="str">
        <f t="shared" si="0"/>
        <v>Espiga Punta de Poste tipo Recta, 34.5 KV, L=20" Rosca 1-3/8"</v>
      </c>
      <c r="C8" s="14" t="s">
        <v>3</v>
      </c>
      <c r="D8">
        <v>1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1</v>
      </c>
    </row>
    <row r="10" spans="1:5" x14ac:dyDescent="0.25">
      <c r="A10" t="s">
        <v>335</v>
      </c>
      <c r="B10" t="str">
        <f t="shared" si="0"/>
        <v>Grapa Terminal tipo Recto para Conductor (1/0 - 4/0)</v>
      </c>
      <c r="C10" s="14" t="s">
        <v>3</v>
      </c>
      <c r="D10">
        <v>3</v>
      </c>
      <c r="E10">
        <v>3</v>
      </c>
    </row>
    <row r="11" spans="1:5" x14ac:dyDescent="0.25">
      <c r="A11" t="s">
        <v>9</v>
      </c>
      <c r="B11" t="str">
        <f t="shared" si="0"/>
        <v>Perno de Máquina de 5/8" x 10"</v>
      </c>
      <c r="C11" s="14" t="s">
        <v>3</v>
      </c>
      <c r="D11">
        <v>2</v>
      </c>
      <c r="E11">
        <v>2</v>
      </c>
    </row>
    <row r="12" spans="1:5" x14ac:dyDescent="0.25">
      <c r="A12" t="s">
        <v>334</v>
      </c>
      <c r="B12" t="str">
        <f t="shared" si="0"/>
        <v>Perno de Rosca Corrida 5/8" x 12"</v>
      </c>
      <c r="C12" s="14" t="s">
        <v>3</v>
      </c>
      <c r="D12">
        <v>2</v>
      </c>
      <c r="E12">
        <v>2</v>
      </c>
    </row>
    <row r="13" spans="1:5" x14ac:dyDescent="0.25">
      <c r="A13" t="s">
        <v>333</v>
      </c>
      <c r="B13" t="str">
        <f t="shared" si="0"/>
        <v>Tuerca de Ojo de 5/8"</v>
      </c>
      <c r="C13" s="14" t="s">
        <v>3</v>
      </c>
      <c r="D13">
        <v>3</v>
      </c>
      <c r="E13">
        <v>3</v>
      </c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  <row r="17" spans="3:3" x14ac:dyDescent="0.25">
      <c r="C17" s="14"/>
    </row>
    <row r="18" spans="3:3" x14ac:dyDescent="0.25">
      <c r="C18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477DD9-868E-401D-BA0A-659475236890}">
          <x14:formula1>
            <xm:f>Materiales!$B$2:$B$259</xm:f>
          </x14:formula1>
          <xm:sqref>A2:A13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DC43-D619-4D94-9FB2-7539DB86BBAF}">
  <sheetPr codeName="Hoja38"/>
  <dimension ref="A1:E19"/>
  <sheetViews>
    <sheetView zoomScale="90" zoomScaleNormal="90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847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336</v>
      </c>
      <c r="B2" t="str">
        <f t="shared" ref="B2:B17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s="1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s="14" t="s">
        <v>1227</v>
      </c>
      <c r="D5">
        <v>5</v>
      </c>
      <c r="E5">
        <v>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14</v>
      </c>
      <c r="E6">
        <v>14</v>
      </c>
    </row>
    <row r="7" spans="1:5" x14ac:dyDescent="0.25">
      <c r="A7" t="s">
        <v>389</v>
      </c>
      <c r="B7" t="str">
        <f t="shared" si="0"/>
        <v>Conector de Compresión YC 25A25 (1/0-1/0)</v>
      </c>
      <c r="C7" s="14" t="s">
        <v>3</v>
      </c>
      <c r="D7">
        <v>2</v>
      </c>
      <c r="E7">
        <v>2</v>
      </c>
    </row>
    <row r="8" spans="1:5" x14ac:dyDescent="0.25">
      <c r="A8" t="s">
        <v>339</v>
      </c>
      <c r="B8" t="str">
        <f t="shared" si="0"/>
        <v>Crucete de Madera Curada de 4" x 5" x 96" /Voladizo</v>
      </c>
      <c r="C8" s="14" t="s">
        <v>3</v>
      </c>
      <c r="D8">
        <v>2</v>
      </c>
      <c r="E8">
        <v>2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s="14" t="s">
        <v>3</v>
      </c>
      <c r="D9">
        <v>0</v>
      </c>
      <c r="E9">
        <v>1</v>
      </c>
    </row>
    <row r="10" spans="1:5" x14ac:dyDescent="0.25">
      <c r="A10" t="s">
        <v>338</v>
      </c>
      <c r="B10" t="str">
        <f t="shared" si="0"/>
        <v>Espiga para Cruceta de Madera, L=8" Rosca 1-3/8", Φ = 3/4"</v>
      </c>
      <c r="C10" s="14" t="s">
        <v>3</v>
      </c>
      <c r="D10">
        <v>1</v>
      </c>
      <c r="E10">
        <v>0</v>
      </c>
    </row>
    <row r="11" spans="1:5" x14ac:dyDescent="0.25">
      <c r="A11" t="s">
        <v>335</v>
      </c>
      <c r="B11" t="str">
        <f t="shared" si="0"/>
        <v>Grapa Terminal tipo Recto para Conductor (1/0 - 4/0)</v>
      </c>
      <c r="C11" s="14" t="s">
        <v>3</v>
      </c>
      <c r="D11">
        <v>3</v>
      </c>
      <c r="E11">
        <v>3</v>
      </c>
    </row>
    <row r="12" spans="1:5" x14ac:dyDescent="0.25">
      <c r="A12" t="s">
        <v>340</v>
      </c>
      <c r="B12" t="str">
        <f t="shared" si="0"/>
        <v>Perno de Máquina de 5/8" x 8"</v>
      </c>
      <c r="C12" s="14" t="s">
        <v>3</v>
      </c>
      <c r="D12">
        <v>2</v>
      </c>
      <c r="E12">
        <v>2</v>
      </c>
    </row>
    <row r="13" spans="1:5" x14ac:dyDescent="0.25">
      <c r="A13" t="s">
        <v>334</v>
      </c>
      <c r="B13" t="str">
        <f t="shared" si="0"/>
        <v>Perno de Rosca Corrida 5/8" x 12"</v>
      </c>
      <c r="C13" s="14" t="s">
        <v>3</v>
      </c>
      <c r="D13">
        <v>1</v>
      </c>
      <c r="E13">
        <v>1</v>
      </c>
    </row>
    <row r="14" spans="1:5" x14ac:dyDescent="0.25">
      <c r="A14" t="s">
        <v>419</v>
      </c>
      <c r="B14" t="str">
        <f t="shared" si="0"/>
        <v>Perno de Rosca Corrida 5/8" x 20"</v>
      </c>
      <c r="C14" s="14" t="s">
        <v>3</v>
      </c>
      <c r="D14">
        <v>3</v>
      </c>
      <c r="E14">
        <v>3</v>
      </c>
    </row>
    <row r="15" spans="1:5" x14ac:dyDescent="0.25">
      <c r="A15" t="s">
        <v>341</v>
      </c>
      <c r="B15" t="str">
        <f t="shared" si="0"/>
        <v>Puntal Angular de 60", 1-3/4" x 1-3/4" x 3/16"</v>
      </c>
      <c r="C15" s="14" t="s">
        <v>3</v>
      </c>
      <c r="D15">
        <v>2</v>
      </c>
      <c r="E15">
        <v>2</v>
      </c>
    </row>
    <row r="16" spans="1:5" x14ac:dyDescent="0.25">
      <c r="A16" t="s">
        <v>1174</v>
      </c>
      <c r="B16" t="str">
        <f t="shared" si="0"/>
        <v>Perno de Máquina de 1/2" x 10"</v>
      </c>
      <c r="C16" s="14" t="s">
        <v>3</v>
      </c>
      <c r="D16">
        <v>2</v>
      </c>
      <c r="E16">
        <v>2</v>
      </c>
    </row>
    <row r="17" spans="1:5" x14ac:dyDescent="0.25">
      <c r="A17" t="s">
        <v>333</v>
      </c>
      <c r="B17" t="str">
        <f t="shared" si="0"/>
        <v>Tuerca de Ojo de 5/8"</v>
      </c>
      <c r="C17" s="14" t="s">
        <v>3</v>
      </c>
      <c r="D17">
        <v>3</v>
      </c>
      <c r="E17">
        <v>3</v>
      </c>
    </row>
    <row r="18" spans="1:5" x14ac:dyDescent="0.25">
      <c r="C18" s="14"/>
    </row>
    <row r="19" spans="1:5" x14ac:dyDescent="0.25">
      <c r="C19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C079D3-F6A3-4349-8D91-AF43793E2266}">
          <x14:formula1>
            <xm:f>Materiales!$B$2:$B$259</xm:f>
          </x14:formula1>
          <xm:sqref>A2:A17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A961-80CF-4F39-9755-9356235D39EF}">
  <sheetPr codeName="Hoja39"/>
  <dimension ref="A1:E13"/>
  <sheetViews>
    <sheetView workbookViewId="0">
      <selection activeCell="A10" sqref="A10:B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346</v>
      </c>
      <c r="B2" t="str">
        <f t="shared" ref="B2:B13" si="0">VLOOKUP(A2,tmat,2,FALSE)</f>
        <v>Perno de Carroceria 3/8" x 5"</v>
      </c>
      <c r="C2" s="18" t="s">
        <v>3</v>
      </c>
      <c r="D2" s="18">
        <v>2</v>
      </c>
      <c r="E2" s="18">
        <v>2</v>
      </c>
    </row>
    <row r="3" spans="1:5" x14ac:dyDescent="0.25">
      <c r="A3" t="s">
        <v>401</v>
      </c>
      <c r="B3" t="str">
        <f t="shared" si="0"/>
        <v>Crucete de Madera Curada de 4" x 5" x 96"</v>
      </c>
      <c r="C3" s="18" t="s">
        <v>3</v>
      </c>
      <c r="D3" s="18">
        <v>1</v>
      </c>
      <c r="E3" s="18">
        <v>1</v>
      </c>
    </row>
    <row r="4" spans="1:5" x14ac:dyDescent="0.25">
      <c r="A4" t="s">
        <v>347</v>
      </c>
      <c r="B4" t="str">
        <f t="shared" si="0"/>
        <v>Tirante de Pletina de 1/4" x 1-1/4" x 30"</v>
      </c>
      <c r="C4" s="18" t="s">
        <v>3</v>
      </c>
      <c r="D4" s="18">
        <v>2</v>
      </c>
      <c r="E4" s="18">
        <v>2</v>
      </c>
    </row>
    <row r="5" spans="1:5" x14ac:dyDescent="0.25">
      <c r="A5" t="s">
        <v>1174</v>
      </c>
      <c r="B5" t="str">
        <f t="shared" si="0"/>
        <v>Perno de Máquina de 1/2" x 10"</v>
      </c>
      <c r="C5" s="18" t="s">
        <v>3</v>
      </c>
      <c r="D5" s="18">
        <v>1</v>
      </c>
      <c r="E5" s="18">
        <v>1</v>
      </c>
    </row>
    <row r="6" spans="1:5" x14ac:dyDescent="0.25">
      <c r="A6" t="s">
        <v>5</v>
      </c>
      <c r="B6" t="str">
        <f t="shared" si="0"/>
        <v>Alambre de Amarre N° 6</v>
      </c>
      <c r="C6" s="18" t="s">
        <v>1227</v>
      </c>
      <c r="D6" s="18">
        <v>2</v>
      </c>
      <c r="E6" s="18">
        <v>2</v>
      </c>
    </row>
    <row r="7" spans="1:5" x14ac:dyDescent="0.25">
      <c r="A7" t="s">
        <v>4</v>
      </c>
      <c r="B7" t="str">
        <f t="shared" si="0"/>
        <v>Aislador de Espiga ANSI C 56-3</v>
      </c>
      <c r="C7" s="18" t="s">
        <v>3</v>
      </c>
      <c r="D7" s="18">
        <v>2</v>
      </c>
      <c r="E7" s="18">
        <v>0</v>
      </c>
    </row>
    <row r="8" spans="1:5" x14ac:dyDescent="0.25">
      <c r="A8" t="s">
        <v>336</v>
      </c>
      <c r="B8" t="str">
        <f t="shared" si="0"/>
        <v>Aislador de Espiga ANSI C 55-4</v>
      </c>
      <c r="C8" s="18" t="s">
        <v>3</v>
      </c>
      <c r="D8" s="18">
        <v>0</v>
      </c>
      <c r="E8" s="18">
        <v>2</v>
      </c>
    </row>
    <row r="9" spans="1:5" x14ac:dyDescent="0.25">
      <c r="A9" t="s">
        <v>441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25">
      <c r="A10" t="s">
        <v>6</v>
      </c>
      <c r="B10" t="str">
        <f t="shared" si="0"/>
        <v>Arandela Cuadrada 3/16" x 2-1/4" x 2-1/4", Ø=11/16"</v>
      </c>
      <c r="C10" s="18" t="s">
        <v>3</v>
      </c>
      <c r="D10" s="18">
        <v>2</v>
      </c>
      <c r="E10" s="18">
        <v>2</v>
      </c>
    </row>
    <row r="11" spans="1:5" x14ac:dyDescent="0.25">
      <c r="A11" t="s">
        <v>337</v>
      </c>
      <c r="B11" t="str">
        <f t="shared" si="0"/>
        <v>Espiga para Cruceta de Madera, L=6" Rosca 1", Φ = 3/4"</v>
      </c>
      <c r="C11" s="18" t="s">
        <v>3</v>
      </c>
      <c r="D11" s="18">
        <v>2</v>
      </c>
      <c r="E11" s="18">
        <v>0</v>
      </c>
    </row>
    <row r="12" spans="1:5" x14ac:dyDescent="0.25">
      <c r="A12" t="s">
        <v>338</v>
      </c>
      <c r="B12" t="str">
        <f t="shared" si="0"/>
        <v>Espiga para Cruceta de Madera, L=8" Rosca 1-3/8", Φ = 3/4"</v>
      </c>
      <c r="C12" s="18" t="s">
        <v>3</v>
      </c>
      <c r="D12" s="18">
        <v>0</v>
      </c>
      <c r="E12" s="18">
        <v>2</v>
      </c>
    </row>
    <row r="13" spans="1:5" x14ac:dyDescent="0.25">
      <c r="A13" t="s">
        <v>348</v>
      </c>
      <c r="B13" t="str">
        <f t="shared" si="0"/>
        <v>Perno de Máquina de 5/8" x 14"</v>
      </c>
      <c r="C13" s="18" t="s">
        <v>3</v>
      </c>
      <c r="D13" s="18">
        <v>1</v>
      </c>
      <c r="E13" s="18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74A4B7-5623-4AB0-8642-0E667941DC8F}">
          <x14:formula1>
            <xm:f>Materiales!$B$2:$B$259</xm:f>
          </x14:formula1>
          <xm:sqref>A2:A13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6B06-B1C8-46BA-8D5B-21F3C33DAB71}">
  <sheetPr codeName="Hoja40"/>
  <dimension ref="A1:E13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3</v>
      </c>
      <c r="E2" s="18">
        <v>3</v>
      </c>
    </row>
    <row r="3" spans="1:5" x14ac:dyDescent="0.25">
      <c r="A3" t="s">
        <v>5</v>
      </c>
      <c r="B3" t="str">
        <f t="shared" si="0"/>
        <v>Alambre de Amarre N° 6</v>
      </c>
      <c r="C3" s="18" t="s">
        <v>1227</v>
      </c>
      <c r="D3" s="18">
        <v>20</v>
      </c>
      <c r="E3" s="18">
        <v>20</v>
      </c>
    </row>
    <row r="4" spans="1:5" x14ac:dyDescent="0.25">
      <c r="A4" t="s">
        <v>4</v>
      </c>
      <c r="B4" t="str">
        <f t="shared" si="0"/>
        <v>Aislador de Espiga ANSI C 56-3</v>
      </c>
      <c r="C4" s="18" t="s">
        <v>3</v>
      </c>
      <c r="D4" s="18">
        <v>2</v>
      </c>
      <c r="E4" s="18">
        <v>0</v>
      </c>
    </row>
    <row r="5" spans="1:5" x14ac:dyDescent="0.25">
      <c r="A5" t="s">
        <v>336</v>
      </c>
      <c r="B5" t="str">
        <f t="shared" si="0"/>
        <v>Aislador de Espiga ANSI C 55-4</v>
      </c>
      <c r="C5" s="18" t="s">
        <v>3</v>
      </c>
      <c r="D5" s="18">
        <v>0</v>
      </c>
      <c r="E5" s="18">
        <v>2</v>
      </c>
    </row>
    <row r="6" spans="1:5" x14ac:dyDescent="0.25">
      <c r="A6" t="s">
        <v>441</v>
      </c>
      <c r="B6" t="str">
        <f t="shared" si="0"/>
        <v>Varilla de Armar Preformado para Cable ASCR # 1/0 AWG</v>
      </c>
      <c r="C6" s="14" t="s">
        <v>3</v>
      </c>
      <c r="D6" s="14">
        <v>2</v>
      </c>
      <c r="E6" s="14">
        <v>2</v>
      </c>
    </row>
    <row r="7" spans="1:5" x14ac:dyDescent="0.25">
      <c r="A7" t="s">
        <v>340</v>
      </c>
      <c r="B7" t="str">
        <f t="shared" si="0"/>
        <v>Perno de Máquina de 5/8" x 8"</v>
      </c>
      <c r="C7" s="18" t="s">
        <v>3</v>
      </c>
      <c r="D7" s="18">
        <v>1</v>
      </c>
      <c r="E7" s="18">
        <v>1</v>
      </c>
    </row>
    <row r="8" spans="1:5" x14ac:dyDescent="0.25">
      <c r="A8" t="s">
        <v>348</v>
      </c>
      <c r="B8" t="str">
        <f t="shared" si="0"/>
        <v>Perno de Máquina de 5/8" x 14"</v>
      </c>
      <c r="C8" s="18" t="s">
        <v>3</v>
      </c>
      <c r="D8" s="18">
        <v>1</v>
      </c>
      <c r="E8" s="18">
        <v>1</v>
      </c>
    </row>
    <row r="9" spans="1:5" x14ac:dyDescent="0.25">
      <c r="A9" t="s">
        <v>339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25">
      <c r="A10" t="s">
        <v>341</v>
      </c>
      <c r="B10" t="str">
        <f t="shared" si="0"/>
        <v>Puntal Angular de 60", 1-3/4" x 1-3/4" x 3/16"</v>
      </c>
      <c r="C10" s="18" t="s">
        <v>3</v>
      </c>
      <c r="D10" s="18">
        <v>1</v>
      </c>
      <c r="E10" s="18">
        <v>1</v>
      </c>
    </row>
    <row r="11" spans="1:5" x14ac:dyDescent="0.25">
      <c r="A11" t="s">
        <v>1174</v>
      </c>
      <c r="B11" t="str">
        <f t="shared" si="0"/>
        <v>Perno de Máquina de 1/2" x 10"</v>
      </c>
      <c r="C11" s="18" t="s">
        <v>3</v>
      </c>
      <c r="D11" s="18">
        <v>1</v>
      </c>
      <c r="E11" s="18">
        <v>1</v>
      </c>
    </row>
    <row r="12" spans="1:5" x14ac:dyDescent="0.25">
      <c r="A12" t="s">
        <v>337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25">
      <c r="A13" t="s">
        <v>338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DB88A9-FE35-4CAF-B6A3-67E7B85CF547}">
          <x14:formula1>
            <xm:f>Materiales!$B$2:$B$259</xm:f>
          </x14:formula1>
          <xm:sqref>A2:A13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5CE-CCC2-45C4-AD80-56E5764B935F}">
  <sheetPr codeName="Hoja41"/>
  <dimension ref="A1:E15"/>
  <sheetViews>
    <sheetView workbookViewId="0">
      <selection activeCell="C8" sqref="C8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5" si="0">VLOOKUP(A2,tmat,2,FALSE)</f>
        <v>Arandela Cuadrada 3/16" x 2-1/4" x 2-1/4", Ø=11/16"</v>
      </c>
      <c r="C2" s="18" t="s">
        <v>3</v>
      </c>
      <c r="D2" s="18">
        <v>4</v>
      </c>
      <c r="E2" s="18">
        <v>4</v>
      </c>
    </row>
    <row r="3" spans="1:5" x14ac:dyDescent="0.25">
      <c r="A3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t="s">
        <v>401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25">
      <c r="A5" t="s">
        <v>347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25">
      <c r="A6" t="s">
        <v>1174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25">
      <c r="A7" t="s">
        <v>5</v>
      </c>
      <c r="B7" t="str">
        <f t="shared" si="0"/>
        <v>Alambre de Amarre N° 6</v>
      </c>
      <c r="C7" s="18" t="s">
        <v>1227</v>
      </c>
      <c r="D7" s="18">
        <v>20</v>
      </c>
      <c r="E7" s="18">
        <v>20</v>
      </c>
    </row>
    <row r="8" spans="1:5" x14ac:dyDescent="0.25">
      <c r="A8" t="s">
        <v>441</v>
      </c>
      <c r="B8" t="str">
        <f t="shared" si="0"/>
        <v>Varilla de Armar Preformado para Cable ASCR # 1/0 AWG</v>
      </c>
      <c r="C8" s="14" t="s">
        <v>3</v>
      </c>
      <c r="D8" s="14">
        <v>2</v>
      </c>
      <c r="E8" s="14">
        <v>2</v>
      </c>
    </row>
    <row r="9" spans="1:5" x14ac:dyDescent="0.25">
      <c r="A9" t="s">
        <v>1174</v>
      </c>
      <c r="B9" t="str">
        <f t="shared" si="0"/>
        <v>Perno de Máquina de 1/2" x 10"</v>
      </c>
      <c r="C9" s="18" t="s">
        <v>3</v>
      </c>
      <c r="D9" s="18">
        <v>4</v>
      </c>
      <c r="E9" s="18">
        <v>0</v>
      </c>
    </row>
    <row r="10" spans="1:5" x14ac:dyDescent="0.25">
      <c r="A10" t="s">
        <v>337</v>
      </c>
      <c r="B10" t="str">
        <f t="shared" si="0"/>
        <v>Espiga para Cruceta de Madera, L=6" Rosca 1", Φ = 3/4"</v>
      </c>
      <c r="C10" s="18" t="s">
        <v>3</v>
      </c>
      <c r="D10" s="18">
        <v>4</v>
      </c>
      <c r="E10" s="18">
        <v>0</v>
      </c>
    </row>
    <row r="11" spans="1:5" x14ac:dyDescent="0.25">
      <c r="A11" t="s">
        <v>338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4</v>
      </c>
    </row>
    <row r="12" spans="1:5" x14ac:dyDescent="0.25">
      <c r="A12" t="s">
        <v>423</v>
      </c>
      <c r="B12" t="str">
        <f t="shared" si="0"/>
        <v>Pletina Espaciadora para Crucete Madera 1/2" x 4" x 24"</v>
      </c>
      <c r="C12" s="18" t="s">
        <v>3</v>
      </c>
      <c r="D12" s="18">
        <v>3</v>
      </c>
      <c r="E12" s="18">
        <v>3</v>
      </c>
    </row>
    <row r="13" spans="1:5" x14ac:dyDescent="0.25">
      <c r="A13" t="s">
        <v>419</v>
      </c>
      <c r="B13" t="str">
        <f t="shared" si="0"/>
        <v>Perno de Rosca Corrida 5/8" x 20"</v>
      </c>
      <c r="C13" s="18" t="s">
        <v>3</v>
      </c>
      <c r="D13" s="18">
        <v>3</v>
      </c>
      <c r="E13" s="18">
        <v>3</v>
      </c>
    </row>
    <row r="14" spans="1:5" x14ac:dyDescent="0.25">
      <c r="A14" t="s">
        <v>4</v>
      </c>
      <c r="B14" t="str">
        <f t="shared" si="0"/>
        <v>Aislador de Espiga ANSI C 56-3</v>
      </c>
      <c r="C14" s="14" t="s">
        <v>3</v>
      </c>
      <c r="D14" s="14">
        <v>4</v>
      </c>
      <c r="E14" s="14">
        <v>0</v>
      </c>
    </row>
    <row r="15" spans="1:5" x14ac:dyDescent="0.25">
      <c r="A15" t="s">
        <v>336</v>
      </c>
      <c r="B15" t="str">
        <f t="shared" si="0"/>
        <v>Aislador de Espiga ANSI C 55-4</v>
      </c>
      <c r="C15" s="14" t="s">
        <v>3</v>
      </c>
      <c r="D15" s="14">
        <v>0</v>
      </c>
      <c r="E15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EB589E-7A30-4F93-AC88-1AB3FC6299A6}">
          <x14:formula1>
            <xm:f>Materiales!$B$2:$B$259</xm:f>
          </x14:formula1>
          <xm:sqref>A2:A15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D5C5-2EC8-4D30-9D79-CA3050B37173}">
  <sheetPr codeName="Hoja42"/>
  <dimension ref="A1:E14"/>
  <sheetViews>
    <sheetView workbookViewId="0">
      <selection activeCell="A6" sqref="A6:B6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5</v>
      </c>
      <c r="B2" t="str">
        <f t="shared" ref="B2:B14" si="0">VLOOKUP(A2,tmat,2,FALSE)</f>
        <v>Alambre de Amarre N° 6</v>
      </c>
      <c r="C2" s="18" t="s">
        <v>1227</v>
      </c>
      <c r="D2" s="18">
        <v>2</v>
      </c>
      <c r="E2" s="18">
        <v>2</v>
      </c>
    </row>
    <row r="3" spans="1:5" x14ac:dyDescent="0.25">
      <c r="A3" t="s">
        <v>4</v>
      </c>
      <c r="B3" t="str">
        <f t="shared" si="0"/>
        <v>Aislador de Espiga ANSI C 56-3</v>
      </c>
      <c r="C3" s="18" t="s">
        <v>3</v>
      </c>
      <c r="D3" s="18">
        <v>4</v>
      </c>
      <c r="E3" s="18">
        <v>0</v>
      </c>
    </row>
    <row r="4" spans="1:5" x14ac:dyDescent="0.25">
      <c r="A4" t="s">
        <v>336</v>
      </c>
      <c r="B4" t="str">
        <f t="shared" si="0"/>
        <v>Aislador de Espiga ANSI C 55-4</v>
      </c>
      <c r="C4" s="18" t="s">
        <v>3</v>
      </c>
      <c r="D4" s="18">
        <v>0</v>
      </c>
      <c r="E4" s="18">
        <v>4</v>
      </c>
    </row>
    <row r="5" spans="1:5" x14ac:dyDescent="0.25">
      <c r="A5" t="s">
        <v>441</v>
      </c>
      <c r="B5" t="str">
        <f t="shared" si="0"/>
        <v>Varilla de Armar Preformado para Cable ASCR # 1/0 AWG</v>
      </c>
      <c r="C5" s="14" t="s">
        <v>3</v>
      </c>
      <c r="D5" s="14">
        <v>2</v>
      </c>
      <c r="E5" s="14">
        <v>2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8" t="s">
        <v>3</v>
      </c>
      <c r="D6" s="18">
        <v>12</v>
      </c>
      <c r="E6" s="18">
        <v>12</v>
      </c>
    </row>
    <row r="7" spans="1:5" x14ac:dyDescent="0.25">
      <c r="A7" t="s">
        <v>340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t="s">
        <v>341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s="18" t="s">
        <v>3</v>
      </c>
      <c r="D9" s="18">
        <v>4</v>
      </c>
      <c r="E9" s="18">
        <v>0</v>
      </c>
    </row>
    <row r="10" spans="1:5" x14ac:dyDescent="0.25">
      <c r="A10" t="s">
        <v>338</v>
      </c>
      <c r="B10" t="str">
        <f t="shared" si="0"/>
        <v>Espiga para Cruceta de Madera, L=8" Rosca 1-3/8", Φ = 3/4"</v>
      </c>
      <c r="C10" s="18" t="s">
        <v>3</v>
      </c>
      <c r="D10" s="18">
        <v>0</v>
      </c>
      <c r="E10" s="18">
        <v>4</v>
      </c>
    </row>
    <row r="11" spans="1:5" x14ac:dyDescent="0.25">
      <c r="A11" t="s">
        <v>423</v>
      </c>
      <c r="B11" t="str">
        <f t="shared" si="0"/>
        <v>Pletina Espaciadora para Crucete Madera 1/2" x 4" x 24"</v>
      </c>
      <c r="C11" s="18" t="s">
        <v>3</v>
      </c>
      <c r="D11" s="18">
        <v>2</v>
      </c>
      <c r="E11" s="18">
        <v>2</v>
      </c>
    </row>
    <row r="12" spans="1:5" x14ac:dyDescent="0.25">
      <c r="A12" t="s">
        <v>339</v>
      </c>
      <c r="B12" t="str">
        <f t="shared" si="0"/>
        <v>Crucete de Madera Curada de 4" x 5" x 96" /Voladizo</v>
      </c>
      <c r="C12" s="18" t="s">
        <v>3</v>
      </c>
      <c r="D12" s="18">
        <v>2</v>
      </c>
      <c r="E12" s="18">
        <v>2</v>
      </c>
    </row>
    <row r="13" spans="1:5" x14ac:dyDescent="0.25">
      <c r="A13" t="s">
        <v>1174</v>
      </c>
      <c r="B13" t="str">
        <f t="shared" si="0"/>
        <v>Perno de Máquina de 1/2" x 10"</v>
      </c>
      <c r="C13" s="18" t="s">
        <v>3</v>
      </c>
      <c r="D13" s="18">
        <v>2</v>
      </c>
      <c r="E13" s="18">
        <v>2</v>
      </c>
    </row>
    <row r="14" spans="1:5" x14ac:dyDescent="0.25">
      <c r="A14" t="s">
        <v>419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695A5E-9460-4B07-834A-8C5BCB6B5E91}">
          <x14:formula1>
            <xm:f>Materiales!$B$2:$B$259</xm:f>
          </x14:formula1>
          <xm:sqref>A2:A14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D53B-D82E-4B51-BB08-E8250E111B84}">
  <sheetPr codeName="Hoja43"/>
  <dimension ref="A1:E14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376</v>
      </c>
      <c r="B2" t="str">
        <f t="shared" ref="B2:B7" si="0">VLOOKUP(A2,tmat,2,FALSE)</f>
        <v>Aislador de Suspensión ANSI C 52-9</v>
      </c>
      <c r="C2" s="16" t="s">
        <v>3</v>
      </c>
      <c r="D2" s="16">
        <v>6</v>
      </c>
      <c r="E2" s="16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s="16" t="s">
        <v>3</v>
      </c>
      <c r="D3" s="16">
        <v>2</v>
      </c>
      <c r="E3" s="16">
        <v>2</v>
      </c>
    </row>
    <row r="4" spans="1:5" x14ac:dyDescent="0.25">
      <c r="A4" t="s">
        <v>334</v>
      </c>
      <c r="B4" t="str">
        <f t="shared" si="0"/>
        <v>Perno de Rosca Corrida 5/8" x 12"</v>
      </c>
      <c r="C4" s="16" t="s">
        <v>3</v>
      </c>
      <c r="D4" s="16">
        <v>2</v>
      </c>
      <c r="E4" s="16">
        <v>2</v>
      </c>
    </row>
    <row r="5" spans="1:5" x14ac:dyDescent="0.25">
      <c r="A5" t="s">
        <v>411</v>
      </c>
      <c r="B5" t="str">
        <f t="shared" si="0"/>
        <v>Grapa de Suspensión para Conductor (1/0- 477)</v>
      </c>
      <c r="C5" s="16" t="s">
        <v>3</v>
      </c>
      <c r="D5" s="16">
        <v>2</v>
      </c>
      <c r="E5" s="16">
        <v>2</v>
      </c>
    </row>
    <row r="6" spans="1:5" x14ac:dyDescent="0.25">
      <c r="A6" t="s">
        <v>441</v>
      </c>
      <c r="B6" t="str">
        <f t="shared" si="0"/>
        <v>Varilla de Armar Preformado para Cable ASCR # 1/0 AWG</v>
      </c>
      <c r="C6" s="14" t="s">
        <v>3</v>
      </c>
      <c r="D6" s="14">
        <v>2</v>
      </c>
      <c r="E6" s="14">
        <v>2</v>
      </c>
    </row>
    <row r="7" spans="1:5" x14ac:dyDescent="0.25">
      <c r="A7" t="s">
        <v>333</v>
      </c>
      <c r="B7" t="str">
        <f t="shared" si="0"/>
        <v>Tuerca de Ojo de 5/8"</v>
      </c>
      <c r="C7" s="16" t="s">
        <v>3</v>
      </c>
      <c r="D7" s="16">
        <v>2</v>
      </c>
      <c r="E7" s="16">
        <v>2</v>
      </c>
    </row>
    <row r="8" spans="1:5" x14ac:dyDescent="0.25">
      <c r="A8" s="16"/>
      <c r="B8" s="16"/>
      <c r="C8" s="18"/>
      <c r="D8" s="18"/>
      <c r="E8" s="18"/>
    </row>
    <row r="9" spans="1:5" x14ac:dyDescent="0.25">
      <c r="A9" s="16"/>
      <c r="B9" s="16"/>
      <c r="C9" s="18"/>
      <c r="D9" s="18"/>
      <c r="E9" s="18"/>
    </row>
    <row r="10" spans="1:5" x14ac:dyDescent="0.25">
      <c r="A10" s="16"/>
      <c r="B10" s="16"/>
      <c r="C10" s="18"/>
      <c r="D10" s="18"/>
      <c r="E10" s="18"/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41A268-E57C-4FE4-90C4-A59367A1925D}">
          <x14:formula1>
            <xm:f>Materiales!$B$2:$B$259</xm:f>
          </x14:formula1>
          <xm:sqref>A2:A7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4AF3-6F85-4401-8A47-105C16941644}">
  <sheetPr codeName="Hoja44"/>
  <dimension ref="A1:E14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t="s">
        <v>376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25">
      <c r="A5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t="s">
        <v>335</v>
      </c>
      <c r="B6" t="str">
        <f t="shared" si="0"/>
        <v>Grapa Terminal tipo Recto para Conductor (1/0 - 4/0)</v>
      </c>
      <c r="C6" s="18" t="s">
        <v>3</v>
      </c>
      <c r="D6" s="18">
        <v>2</v>
      </c>
      <c r="E6" s="18">
        <v>2</v>
      </c>
    </row>
    <row r="7" spans="1:5" x14ac:dyDescent="0.25">
      <c r="A7" t="s">
        <v>347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25">
      <c r="A8" t="s">
        <v>1174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25">
      <c r="A9" t="s">
        <v>419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25">
      <c r="A10" t="s">
        <v>333</v>
      </c>
      <c r="B10" t="str">
        <f t="shared" si="0"/>
        <v>Tuerca de Ojo de 5/8"</v>
      </c>
      <c r="C10" s="18" t="s">
        <v>3</v>
      </c>
      <c r="D10" s="18">
        <v>2</v>
      </c>
      <c r="E10" s="18">
        <v>2</v>
      </c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2C34CD-E00D-4A14-83EA-4DB08734E5D2}">
          <x14:formula1>
            <xm:f>Materiales!$B$2:$B$259</xm:f>
          </x14:formula1>
          <xm:sqref>A2:A10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D97B-7894-4E13-8345-E8078387BFC7}">
  <sheetPr codeName="Hoja45"/>
  <dimension ref="A1:E14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376</v>
      </c>
      <c r="B2" t="str">
        <f t="shared" ref="B2:B10" si="0">VLOOKUP(A2,tmat,2,FALSE)</f>
        <v>Aislador de Suspensión ANSI C 52-9</v>
      </c>
      <c r="C2" s="18" t="s">
        <v>3</v>
      </c>
      <c r="D2" s="18">
        <v>6</v>
      </c>
      <c r="E2" s="18">
        <v>4</v>
      </c>
    </row>
    <row r="3" spans="1:5" x14ac:dyDescent="0.25">
      <c r="A3" s="16" t="s">
        <v>5</v>
      </c>
      <c r="B3" t="str">
        <f t="shared" si="0"/>
        <v>Alambre de Amarre N° 6</v>
      </c>
      <c r="C3" s="18" t="s">
        <v>1227</v>
      </c>
      <c r="D3" s="18">
        <v>10</v>
      </c>
      <c r="E3" s="18">
        <v>10</v>
      </c>
    </row>
    <row r="4" spans="1:5" x14ac:dyDescent="0.25">
      <c r="A4" s="16" t="s">
        <v>337</v>
      </c>
      <c r="B4" t="str">
        <f t="shared" si="0"/>
        <v>Espiga para Cruceta de Madera, L=6" Rosca 1", Φ = 3/4"</v>
      </c>
      <c r="C4" s="18" t="s">
        <v>3</v>
      </c>
      <c r="D4" s="18">
        <v>2</v>
      </c>
      <c r="E4" s="18">
        <v>0</v>
      </c>
    </row>
    <row r="5" spans="1:5" x14ac:dyDescent="0.25">
      <c r="A5" s="16" t="s">
        <v>338</v>
      </c>
      <c r="B5" t="str">
        <f t="shared" si="0"/>
        <v>Espiga para Cruceta de Madera, L=8" Rosca 1-3/8", Φ = 3/4"</v>
      </c>
      <c r="C5" s="18" t="s">
        <v>3</v>
      </c>
      <c r="D5" s="18">
        <v>0</v>
      </c>
      <c r="E5" s="18">
        <v>2</v>
      </c>
    </row>
    <row r="6" spans="1:5" x14ac:dyDescent="0.25">
      <c r="A6" s="16" t="s">
        <v>335</v>
      </c>
      <c r="B6" t="str">
        <f t="shared" si="0"/>
        <v>Grapa Terminal tipo Recto para Conductor (1/0 - 4/0)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333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4</v>
      </c>
      <c r="B8" t="str">
        <f t="shared" si="0"/>
        <v>Aislador de Espiga ANSI C 56-3</v>
      </c>
      <c r="C8" s="18" t="s">
        <v>3</v>
      </c>
      <c r="D8" s="18">
        <v>2</v>
      </c>
      <c r="E8" s="18">
        <v>0</v>
      </c>
    </row>
    <row r="9" spans="1:5" x14ac:dyDescent="0.25">
      <c r="A9" s="16" t="s">
        <v>336</v>
      </c>
      <c r="B9" t="str">
        <f t="shared" si="0"/>
        <v>Aislador de Espiga ANSI C 55-4</v>
      </c>
      <c r="C9" s="18" t="s">
        <v>3</v>
      </c>
      <c r="D9" s="18">
        <v>0</v>
      </c>
      <c r="E9" s="18">
        <v>2</v>
      </c>
    </row>
    <row r="10" spans="1:5" x14ac:dyDescent="0.25">
      <c r="A10" s="16" t="s">
        <v>389</v>
      </c>
      <c r="B10" t="str">
        <f t="shared" si="0"/>
        <v>Conector de Compresión YC 25A25 (1/0-1/0)</v>
      </c>
      <c r="C10" s="18" t="s">
        <v>3</v>
      </c>
      <c r="D10" s="18">
        <v>2</v>
      </c>
      <c r="E10" s="18">
        <v>2</v>
      </c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5F1A2F-D27E-43DB-B1C7-55BA51EC72EC}">
          <x14:formula1>
            <xm:f>Materiales!$B$2:$B$259</xm:f>
          </x14:formula1>
          <xm:sqref>A2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E879-754B-4699-AC50-71728CD57698}">
  <sheetPr codeName="Hoja46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1174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333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1227</v>
      </c>
      <c r="D9" s="18">
        <v>10</v>
      </c>
      <c r="E9" s="18">
        <v>10</v>
      </c>
    </row>
    <row r="10" spans="1:5" x14ac:dyDescent="0.25">
      <c r="A10" s="16" t="s">
        <v>337</v>
      </c>
      <c r="B10" t="str">
        <f t="shared" si="0"/>
        <v>Espiga para Cruceta de Madera, L=6" Rosca 1", Φ = 3/4"</v>
      </c>
      <c r="C10" s="18" t="s">
        <v>3</v>
      </c>
      <c r="D10" s="18">
        <v>2</v>
      </c>
      <c r="E10" s="18">
        <v>0</v>
      </c>
    </row>
    <row r="11" spans="1:5" x14ac:dyDescent="0.25">
      <c r="A11" s="16" t="s">
        <v>338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2</v>
      </c>
    </row>
    <row r="12" spans="1:5" x14ac:dyDescent="0.25">
      <c r="A12" s="16" t="s">
        <v>419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25">
      <c r="A13" s="16" t="s">
        <v>335</v>
      </c>
      <c r="B13" t="str">
        <f t="shared" si="0"/>
        <v>Grapa Terminal tipo Recto para Conductor (1/0 - 4/0)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4</v>
      </c>
      <c r="B14" t="str">
        <f t="shared" si="0"/>
        <v>Aislador de Espiga ANSI C 56-3</v>
      </c>
      <c r="C14" s="18" t="s">
        <v>3</v>
      </c>
      <c r="D14" s="18">
        <v>2</v>
      </c>
      <c r="E14" s="18">
        <v>0</v>
      </c>
    </row>
    <row r="15" spans="1:5" x14ac:dyDescent="0.25">
      <c r="A15" s="16" t="s">
        <v>336</v>
      </c>
      <c r="B15" t="str">
        <f t="shared" si="0"/>
        <v>Aislador de Espiga ANSI C 55-4</v>
      </c>
      <c r="C15" s="18" t="s">
        <v>3</v>
      </c>
      <c r="D15" s="18">
        <v>0</v>
      </c>
      <c r="E15" s="18">
        <v>2</v>
      </c>
    </row>
    <row r="16" spans="1:5" x14ac:dyDescent="0.25">
      <c r="A16" s="16" t="s">
        <v>389</v>
      </c>
      <c r="B16" t="str">
        <f t="shared" si="0"/>
        <v>Conector de Compresión YC 25A25 (1/0-1/0)</v>
      </c>
      <c r="C16" s="18" t="s">
        <v>3</v>
      </c>
      <c r="D16" s="18">
        <v>2</v>
      </c>
      <c r="E16" s="1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DB3298-EF15-4282-8CA7-5D1E28DCC7E1}">
          <x14:formula1>
            <xm:f>Materiales!$B$2:$B$259</xm:f>
          </x14:formula1>
          <xm:sqref>A2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08CC-CD57-4A88-B06D-9C3CA3602A74}">
  <sheetPr codeName="Hoja47"/>
  <dimension ref="A1:E16"/>
  <sheetViews>
    <sheetView workbookViewId="0">
      <selection activeCell="C10" sqref="C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10</v>
      </c>
      <c r="E2" s="16">
        <v>10</v>
      </c>
    </row>
    <row r="3" spans="1:5" x14ac:dyDescent="0.25">
      <c r="A3" s="16" t="s">
        <v>346</v>
      </c>
      <c r="B3" t="str">
        <f t="shared" si="0"/>
        <v>Perno de Carroceria 3/8" x 5"</v>
      </c>
      <c r="C3" s="16" t="s">
        <v>3</v>
      </c>
      <c r="D3" s="16">
        <v>4</v>
      </c>
      <c r="E3" s="16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6" t="s">
        <v>3</v>
      </c>
      <c r="D4" s="16">
        <v>6</v>
      </c>
      <c r="E4" s="16">
        <v>4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6" t="s">
        <v>3</v>
      </c>
      <c r="D5" s="16">
        <v>2</v>
      </c>
      <c r="E5" s="16">
        <v>2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6" t="s">
        <v>3</v>
      </c>
      <c r="D6" s="16">
        <v>4</v>
      </c>
      <c r="E6" s="16">
        <v>4</v>
      </c>
    </row>
    <row r="7" spans="1:5" x14ac:dyDescent="0.25">
      <c r="A7" s="16" t="s">
        <v>1174</v>
      </c>
      <c r="B7" t="str">
        <f t="shared" si="0"/>
        <v>Perno de Máquina de 1/2" x 10"</v>
      </c>
      <c r="C7" s="16" t="s">
        <v>3</v>
      </c>
      <c r="D7" s="16">
        <v>2</v>
      </c>
      <c r="E7" s="16">
        <v>2</v>
      </c>
    </row>
    <row r="8" spans="1:5" x14ac:dyDescent="0.25">
      <c r="A8" s="16" t="s">
        <v>333</v>
      </c>
      <c r="B8" t="str">
        <f t="shared" si="0"/>
        <v>Tuerca de Ojo de 5/8"</v>
      </c>
      <c r="C8" s="16" t="s">
        <v>3</v>
      </c>
      <c r="D8" s="16">
        <v>2</v>
      </c>
      <c r="E8" s="16">
        <v>2</v>
      </c>
    </row>
    <row r="9" spans="1:5" x14ac:dyDescent="0.25">
      <c r="A9" s="16" t="s">
        <v>5</v>
      </c>
      <c r="B9" t="str">
        <f t="shared" si="0"/>
        <v>Alambre de Amarre N° 6</v>
      </c>
      <c r="C9" s="16" t="s">
        <v>1227</v>
      </c>
      <c r="D9" s="16">
        <v>5</v>
      </c>
      <c r="E9" s="16">
        <v>5</v>
      </c>
    </row>
    <row r="10" spans="1:5" x14ac:dyDescent="0.25">
      <c r="A10" s="16" t="s">
        <v>337</v>
      </c>
      <c r="B10" t="str">
        <f t="shared" si="0"/>
        <v>Espiga para Cruceta de Madera, L=6" Rosca 1", Φ = 3/4"</v>
      </c>
      <c r="C10" s="16" t="s">
        <v>3</v>
      </c>
      <c r="D10" s="16">
        <v>1</v>
      </c>
      <c r="E10" s="16">
        <v>0</v>
      </c>
    </row>
    <row r="11" spans="1:5" x14ac:dyDescent="0.25">
      <c r="A11" s="16" t="s">
        <v>338</v>
      </c>
      <c r="B11" t="str">
        <f t="shared" si="0"/>
        <v>Espiga para Cruceta de Madera, L=8" Rosca 1-3/8", Φ = 3/4"</v>
      </c>
      <c r="C11" s="16" t="s">
        <v>3</v>
      </c>
      <c r="D11" s="16">
        <v>0</v>
      </c>
      <c r="E11" s="16">
        <v>1</v>
      </c>
    </row>
    <row r="12" spans="1:5" x14ac:dyDescent="0.25">
      <c r="A12" s="16" t="s">
        <v>419</v>
      </c>
      <c r="B12" t="str">
        <f t="shared" si="0"/>
        <v>Perno de Rosca Corrida 5/8" x 20"</v>
      </c>
      <c r="C12" s="16" t="s">
        <v>3</v>
      </c>
      <c r="D12" s="16">
        <v>3</v>
      </c>
      <c r="E12" s="16">
        <v>3</v>
      </c>
    </row>
    <row r="13" spans="1:5" x14ac:dyDescent="0.25">
      <c r="A13" s="16" t="s">
        <v>335</v>
      </c>
      <c r="B13" t="str">
        <f t="shared" si="0"/>
        <v>Grapa Terminal tipo Recto para Conductor (1/0 - 4/0)</v>
      </c>
      <c r="C13" s="16" t="s">
        <v>3</v>
      </c>
      <c r="D13" s="16">
        <v>2</v>
      </c>
      <c r="E13" s="16">
        <v>2</v>
      </c>
    </row>
    <row r="14" spans="1:5" x14ac:dyDescent="0.25">
      <c r="A14" s="16" t="s">
        <v>4</v>
      </c>
      <c r="B14" t="str">
        <f t="shared" si="0"/>
        <v>Aislador de Espiga ANSI C 56-3</v>
      </c>
      <c r="C14" s="16" t="s">
        <v>3</v>
      </c>
      <c r="D14" s="16">
        <v>1</v>
      </c>
      <c r="E14" s="16">
        <v>0</v>
      </c>
    </row>
    <row r="15" spans="1:5" x14ac:dyDescent="0.25">
      <c r="A15" s="16" t="s">
        <v>336</v>
      </c>
      <c r="B15" t="str">
        <f t="shared" si="0"/>
        <v>Aislador de Espiga ANSI C 55-4</v>
      </c>
      <c r="C15" s="16" t="s">
        <v>3</v>
      </c>
      <c r="D15" s="16">
        <v>0</v>
      </c>
      <c r="E15" s="16">
        <v>1</v>
      </c>
    </row>
    <row r="16" spans="1:5" x14ac:dyDescent="0.25">
      <c r="A16" s="16" t="s">
        <v>389</v>
      </c>
      <c r="B16" t="str">
        <f t="shared" si="0"/>
        <v>Conector de Compresión YC 25A25 (1/0-1/0)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63221C-7C31-4519-967B-1E921304322D}">
          <x14:formula1>
            <xm:f>Materiales!$B$2:$B$259</xm:f>
          </x14:formula1>
          <xm:sqref>A2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7679-3C80-4259-9D8E-14933A8FF48F}">
  <sheetPr codeName="Hoja48"/>
  <dimension ref="A1:E16"/>
  <sheetViews>
    <sheetView workbookViewId="0">
      <selection activeCell="A10" sqref="A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6" t="s">
        <v>3</v>
      </c>
      <c r="D2" s="16">
        <v>12</v>
      </c>
      <c r="E2" s="16">
        <v>12</v>
      </c>
    </row>
    <row r="3" spans="1:5" x14ac:dyDescent="0.25">
      <c r="A3" s="16" t="s">
        <v>376</v>
      </c>
      <c r="B3" t="str">
        <f t="shared" si="0"/>
        <v>Aislador de Suspensión ANSI C 52-9</v>
      </c>
      <c r="C3" s="16" t="s">
        <v>3</v>
      </c>
      <c r="D3" s="16">
        <v>6</v>
      </c>
      <c r="E3" s="16">
        <v>4</v>
      </c>
    </row>
    <row r="4" spans="1:5" x14ac:dyDescent="0.25">
      <c r="A4" s="16" t="s">
        <v>335</v>
      </c>
      <c r="B4" t="str">
        <f t="shared" si="0"/>
        <v>Grapa Terminal tipo Recto para Conductor (1/0 - 4/0)</v>
      </c>
      <c r="C4" s="16" t="s">
        <v>3</v>
      </c>
      <c r="D4" s="16">
        <v>2</v>
      </c>
      <c r="E4" s="16">
        <v>2</v>
      </c>
    </row>
    <row r="5" spans="1:5" x14ac:dyDescent="0.25">
      <c r="A5" s="16" t="s">
        <v>333</v>
      </c>
      <c r="B5" t="str">
        <f t="shared" si="0"/>
        <v>Tuerca de Ojo de 5/8"</v>
      </c>
      <c r="C5" s="16" t="s">
        <v>3</v>
      </c>
      <c r="D5" s="16">
        <v>2</v>
      </c>
      <c r="E5" s="16">
        <v>2</v>
      </c>
    </row>
    <row r="6" spans="1:5" x14ac:dyDescent="0.25">
      <c r="A6" s="16" t="s">
        <v>340</v>
      </c>
      <c r="B6" t="str">
        <f t="shared" si="0"/>
        <v>Perno de Máquina de 5/8" x 8"</v>
      </c>
      <c r="C6" s="16" t="s">
        <v>3</v>
      </c>
      <c r="D6" s="16">
        <v>2</v>
      </c>
      <c r="E6" s="16">
        <v>2</v>
      </c>
    </row>
    <row r="7" spans="1:5" x14ac:dyDescent="0.25">
      <c r="A7" s="16" t="s">
        <v>341</v>
      </c>
      <c r="B7" t="str">
        <f t="shared" si="0"/>
        <v>Puntal Angular de 60", 1-3/4" x 1-3/4" x 3/16"</v>
      </c>
      <c r="C7" s="16" t="s">
        <v>3</v>
      </c>
      <c r="D7" s="16">
        <v>2</v>
      </c>
      <c r="E7" s="16">
        <v>2</v>
      </c>
    </row>
    <row r="8" spans="1:5" x14ac:dyDescent="0.25">
      <c r="A8" s="16" t="s">
        <v>339</v>
      </c>
      <c r="B8" t="str">
        <f t="shared" si="0"/>
        <v>Crucete de Madera Curada de 4" x 5" x 96" /Voladizo</v>
      </c>
      <c r="C8" s="16" t="s">
        <v>3</v>
      </c>
      <c r="D8" s="16">
        <v>2</v>
      </c>
      <c r="E8" s="16">
        <v>2</v>
      </c>
    </row>
    <row r="9" spans="1:5" x14ac:dyDescent="0.25">
      <c r="A9" s="16" t="s">
        <v>1174</v>
      </c>
      <c r="B9" t="str">
        <f t="shared" si="0"/>
        <v>Perno de Máquina de 1/2" x 10"</v>
      </c>
      <c r="C9" s="16" t="s">
        <v>3</v>
      </c>
      <c r="D9" s="16">
        <v>2</v>
      </c>
      <c r="E9" s="16">
        <v>2</v>
      </c>
    </row>
    <row r="10" spans="1:5" x14ac:dyDescent="0.25">
      <c r="A10" s="16" t="s">
        <v>419</v>
      </c>
      <c r="B10" t="str">
        <f t="shared" si="0"/>
        <v>Perno de Rosca Corrida 5/8" x 20"</v>
      </c>
      <c r="C10" s="16" t="s">
        <v>3</v>
      </c>
      <c r="D10" s="16">
        <v>3</v>
      </c>
      <c r="E10" s="16">
        <v>3</v>
      </c>
    </row>
    <row r="11" spans="1:5" x14ac:dyDescent="0.25">
      <c r="A11" s="16"/>
      <c r="B11" s="16"/>
      <c r="C11" s="16"/>
      <c r="D11" s="16"/>
      <c r="E11" s="16"/>
    </row>
    <row r="12" spans="1:5" x14ac:dyDescent="0.25">
      <c r="A12" s="16"/>
      <c r="B12" s="16"/>
      <c r="C12" s="16"/>
      <c r="D12" s="16"/>
      <c r="E12" s="16"/>
    </row>
    <row r="13" spans="1:5" x14ac:dyDescent="0.25">
      <c r="A13" s="16"/>
      <c r="B13" s="16"/>
      <c r="C13" s="16"/>
      <c r="D13" s="16"/>
      <c r="E13" s="16"/>
    </row>
    <row r="14" spans="1:5" x14ac:dyDescent="0.25">
      <c r="A14" s="16"/>
      <c r="B14" s="16"/>
      <c r="C14" s="16"/>
      <c r="D14" s="16"/>
      <c r="E14" s="16"/>
    </row>
    <row r="15" spans="1:5" x14ac:dyDescent="0.25">
      <c r="A15" s="16"/>
      <c r="B15" s="16"/>
      <c r="C15" s="16"/>
      <c r="D15" s="16"/>
      <c r="E15" s="16"/>
    </row>
    <row r="16" spans="1:5" x14ac:dyDescent="0.25">
      <c r="A16" s="16"/>
      <c r="B16" s="16"/>
      <c r="C16" s="16"/>
      <c r="D16" s="16"/>
      <c r="E16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C70E55-F174-455C-AA8B-8A969028E371}">
          <x14:formula1>
            <xm:f>Materiales!$B$2:$B$259</xm:f>
          </x14:formula1>
          <xm:sqref>A2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BEAA-98CA-4CAA-A5FF-DD326C00E7BD}">
  <sheetPr codeName="Hoja49"/>
  <dimension ref="A1:E16"/>
  <sheetViews>
    <sheetView workbookViewId="0">
      <selection activeCell="A8" sqref="A8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4</v>
      </c>
      <c r="E2" s="16">
        <v>4</v>
      </c>
    </row>
    <row r="3" spans="1:5" x14ac:dyDescent="0.25">
      <c r="A3" s="16" t="s">
        <v>346</v>
      </c>
      <c r="B3" t="str">
        <f t="shared" si="0"/>
        <v>Perno de Carroceria 3/8" x 5"</v>
      </c>
      <c r="C3" s="16" t="s">
        <v>3</v>
      </c>
      <c r="D3" s="16">
        <v>4</v>
      </c>
      <c r="E3" s="16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6" t="s">
        <v>3</v>
      </c>
      <c r="D4" s="16">
        <v>8</v>
      </c>
      <c r="E4" s="16">
        <v>8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6" t="s">
        <v>3</v>
      </c>
      <c r="D5" s="16">
        <v>2</v>
      </c>
      <c r="E5" s="16">
        <v>2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6" t="s">
        <v>3</v>
      </c>
      <c r="D6" s="16">
        <v>4</v>
      </c>
      <c r="E6" s="16">
        <v>4</v>
      </c>
    </row>
    <row r="7" spans="1:5" x14ac:dyDescent="0.25">
      <c r="A7" s="16" t="s">
        <v>1174</v>
      </c>
      <c r="B7" t="str">
        <f t="shared" si="0"/>
        <v>Perno de Máquina de 1/2" x 10"</v>
      </c>
      <c r="C7" s="16" t="s">
        <v>3</v>
      </c>
      <c r="D7" s="16">
        <v>2</v>
      </c>
      <c r="E7" s="16">
        <v>2</v>
      </c>
    </row>
    <row r="8" spans="1:5" x14ac:dyDescent="0.25">
      <c r="A8" s="16" t="s">
        <v>333</v>
      </c>
      <c r="B8" t="str">
        <f t="shared" si="0"/>
        <v>Tuerca de Ojo de 5/8"</v>
      </c>
      <c r="C8" s="16" t="s">
        <v>3</v>
      </c>
      <c r="D8" s="16">
        <v>4</v>
      </c>
      <c r="E8" s="16">
        <v>4</v>
      </c>
    </row>
    <row r="9" spans="1:5" x14ac:dyDescent="0.25">
      <c r="A9" s="16" t="s">
        <v>5</v>
      </c>
      <c r="B9" t="str">
        <f t="shared" si="0"/>
        <v>Alambre de Amarre N° 6</v>
      </c>
      <c r="C9" s="16" t="s">
        <v>1227</v>
      </c>
      <c r="D9" s="16">
        <v>20</v>
      </c>
      <c r="E9" s="16">
        <v>20</v>
      </c>
    </row>
    <row r="10" spans="1:5" x14ac:dyDescent="0.25">
      <c r="A10" s="16" t="s">
        <v>337</v>
      </c>
      <c r="B10" t="str">
        <f t="shared" si="0"/>
        <v>Espiga para Cruceta de Madera, L=6" Rosca 1", Φ = 3/4"</v>
      </c>
      <c r="C10" s="16" t="s">
        <v>3</v>
      </c>
      <c r="D10" s="16">
        <v>2</v>
      </c>
      <c r="E10" s="16">
        <v>0</v>
      </c>
    </row>
    <row r="11" spans="1:5" x14ac:dyDescent="0.25">
      <c r="A11" s="16" t="s">
        <v>338</v>
      </c>
      <c r="B11" t="str">
        <f t="shared" si="0"/>
        <v>Espiga para Cruceta de Madera, L=8" Rosca 1-3/8", Φ = 3/4"</v>
      </c>
      <c r="C11" s="16" t="s">
        <v>3</v>
      </c>
      <c r="D11" s="16">
        <v>0</v>
      </c>
      <c r="E11" s="16">
        <v>2</v>
      </c>
    </row>
    <row r="12" spans="1:5" x14ac:dyDescent="0.25">
      <c r="A12" s="16" t="s">
        <v>419</v>
      </c>
      <c r="B12" t="str">
        <f t="shared" si="0"/>
        <v>Perno de Rosca Corrida 5/8" x 20"</v>
      </c>
      <c r="C12" s="16" t="s">
        <v>3</v>
      </c>
      <c r="D12" s="16">
        <v>3</v>
      </c>
      <c r="E12" s="16">
        <v>3</v>
      </c>
    </row>
    <row r="13" spans="1:5" x14ac:dyDescent="0.25">
      <c r="A13" s="16" t="s">
        <v>335</v>
      </c>
      <c r="B13" t="str">
        <f t="shared" si="0"/>
        <v>Grapa Terminal tipo Recto para Conductor (1/0 - 4/0)</v>
      </c>
      <c r="C13" s="16" t="s">
        <v>3</v>
      </c>
      <c r="D13" s="16">
        <v>4</v>
      </c>
      <c r="E13" s="16">
        <v>4</v>
      </c>
    </row>
    <row r="14" spans="1:5" x14ac:dyDescent="0.25">
      <c r="A14" s="16" t="s">
        <v>4</v>
      </c>
      <c r="B14" t="str">
        <f t="shared" si="0"/>
        <v>Aislador de Espiga ANSI C 56-3</v>
      </c>
      <c r="C14" s="16" t="s">
        <v>3</v>
      </c>
      <c r="D14" s="16">
        <v>2</v>
      </c>
      <c r="E14" s="16">
        <v>0</v>
      </c>
    </row>
    <row r="15" spans="1:5" x14ac:dyDescent="0.25">
      <c r="A15" s="16" t="s">
        <v>336</v>
      </c>
      <c r="B15" t="str">
        <f t="shared" si="0"/>
        <v>Aislador de Espiga ANSI C 55-4</v>
      </c>
      <c r="C15" s="16" t="s">
        <v>3</v>
      </c>
      <c r="D15" s="16">
        <v>0</v>
      </c>
      <c r="E15" s="16">
        <v>2</v>
      </c>
    </row>
    <row r="16" spans="1:5" x14ac:dyDescent="0.25">
      <c r="A16" s="16" t="s">
        <v>389</v>
      </c>
      <c r="B16" t="str">
        <f t="shared" si="0"/>
        <v>Conector de Compresión YC 25A25 (1/0-1/0)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8B6977-3DF6-455B-8B41-D7DA91807574}">
          <x14:formula1>
            <xm:f>Materiales!$B$2:$B$259</xm:f>
          </x14:formula1>
          <xm:sqref>A2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A4D2-D7AE-4C9E-9571-E9E4B4D54BCB}">
  <sheetPr codeName="Hoja50"/>
  <dimension ref="A1:E16"/>
  <sheetViews>
    <sheetView workbookViewId="0">
      <selection activeCell="A12" sqref="A1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</v>
      </c>
      <c r="E2" s="16">
        <v>2</v>
      </c>
    </row>
    <row r="3" spans="1:5" x14ac:dyDescent="0.25">
      <c r="A3" s="16" t="s">
        <v>376</v>
      </c>
      <c r="B3" t="str">
        <f t="shared" si="0"/>
        <v>Aislador de Suspensión ANSI C 52-9</v>
      </c>
      <c r="C3" s="16" t="s">
        <v>3</v>
      </c>
      <c r="D3" s="16">
        <v>12</v>
      </c>
      <c r="E3" s="16">
        <v>8</v>
      </c>
    </row>
    <row r="4" spans="1:5" x14ac:dyDescent="0.25">
      <c r="A4" s="16" t="s">
        <v>335</v>
      </c>
      <c r="B4" t="str">
        <f t="shared" si="0"/>
        <v>Grapa Terminal tipo Recto para Conductor (1/0 - 4/0)</v>
      </c>
      <c r="C4" s="16" t="s">
        <v>3</v>
      </c>
      <c r="D4" s="16">
        <v>4</v>
      </c>
      <c r="E4" s="16">
        <v>4</v>
      </c>
    </row>
    <row r="5" spans="1:5" x14ac:dyDescent="0.25">
      <c r="A5" s="16" t="s">
        <v>5</v>
      </c>
      <c r="B5" t="str">
        <f t="shared" si="0"/>
        <v>Alambre de Amarre N° 6</v>
      </c>
      <c r="C5" s="16" t="s">
        <v>1227</v>
      </c>
      <c r="D5" s="16">
        <v>10</v>
      </c>
      <c r="E5" s="16">
        <v>10</v>
      </c>
    </row>
    <row r="6" spans="1:5" x14ac:dyDescent="0.25">
      <c r="A6" s="16" t="s">
        <v>4</v>
      </c>
      <c r="B6" t="str">
        <f t="shared" si="0"/>
        <v>Aislador de Espiga ANSI C 56-3</v>
      </c>
      <c r="C6" s="16" t="s">
        <v>3</v>
      </c>
      <c r="D6" s="16">
        <v>2</v>
      </c>
      <c r="E6" s="16">
        <v>0</v>
      </c>
    </row>
    <row r="7" spans="1:5" x14ac:dyDescent="0.25">
      <c r="A7" s="16" t="s">
        <v>336</v>
      </c>
      <c r="B7" t="str">
        <f t="shared" si="0"/>
        <v>Aislador de Espiga ANSI C 55-4</v>
      </c>
      <c r="C7" s="16" t="s">
        <v>3</v>
      </c>
      <c r="D7" s="16">
        <v>0</v>
      </c>
      <c r="E7" s="16">
        <v>2</v>
      </c>
    </row>
    <row r="8" spans="1:5" x14ac:dyDescent="0.25">
      <c r="A8" s="16" t="s">
        <v>340</v>
      </c>
      <c r="B8" t="str">
        <f t="shared" si="0"/>
        <v>Perno de Máquina de 5/8" x 8"</v>
      </c>
      <c r="C8" s="16" t="s">
        <v>3</v>
      </c>
      <c r="D8" s="16">
        <v>2</v>
      </c>
      <c r="E8" s="16">
        <v>2</v>
      </c>
    </row>
    <row r="9" spans="1:5" x14ac:dyDescent="0.25">
      <c r="A9" s="16" t="s">
        <v>341</v>
      </c>
      <c r="B9" t="str">
        <f t="shared" si="0"/>
        <v>Puntal Angular de 60", 1-3/4" x 1-3/4" x 3/16"</v>
      </c>
      <c r="C9" s="16" t="s">
        <v>3</v>
      </c>
      <c r="D9" s="16">
        <v>2</v>
      </c>
      <c r="E9" s="16">
        <v>2</v>
      </c>
    </row>
    <row r="10" spans="1:5" x14ac:dyDescent="0.25">
      <c r="A10" s="16" t="s">
        <v>339</v>
      </c>
      <c r="B10" t="str">
        <f t="shared" si="0"/>
        <v>Crucete de Madera Curada de 4" x 5" x 96" /Voladizo</v>
      </c>
      <c r="C10" s="16" t="s">
        <v>3</v>
      </c>
      <c r="D10" s="16">
        <v>2</v>
      </c>
      <c r="E10" s="16">
        <v>2</v>
      </c>
    </row>
    <row r="11" spans="1:5" x14ac:dyDescent="0.25">
      <c r="A11" s="16" t="s">
        <v>1174</v>
      </c>
      <c r="B11" t="str">
        <f t="shared" si="0"/>
        <v>Perno de Máquina de 1/2" x 10"</v>
      </c>
      <c r="C11" s="16" t="s">
        <v>3</v>
      </c>
      <c r="D11" s="16">
        <v>2</v>
      </c>
      <c r="E11" s="16">
        <v>2</v>
      </c>
    </row>
    <row r="12" spans="1:5" x14ac:dyDescent="0.25">
      <c r="A12" s="16" t="s">
        <v>333</v>
      </c>
      <c r="B12" t="str">
        <f t="shared" si="0"/>
        <v>Tuerca de Ojo de 5/8"</v>
      </c>
      <c r="C12" s="16" t="s">
        <v>3</v>
      </c>
      <c r="D12" s="16">
        <v>4</v>
      </c>
      <c r="E12" s="16">
        <v>4</v>
      </c>
    </row>
    <row r="13" spans="1:5" x14ac:dyDescent="0.25">
      <c r="A13" s="16" t="s">
        <v>389</v>
      </c>
      <c r="B13" t="str">
        <f t="shared" si="0"/>
        <v>Conector de Compresión YC 25A25 (1/0-1/0)</v>
      </c>
      <c r="C13" s="16" t="s">
        <v>3</v>
      </c>
      <c r="D13" s="16">
        <v>2</v>
      </c>
      <c r="E13" s="16">
        <v>2</v>
      </c>
    </row>
    <row r="14" spans="1:5" x14ac:dyDescent="0.25">
      <c r="A14" s="16" t="s">
        <v>337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25">
      <c r="A15" s="16" t="s">
        <v>338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25">
      <c r="A16" s="16" t="s">
        <v>419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802A5A-CD24-4911-995E-760F6D9BBD02}">
          <x14:formula1>
            <xm:f>Materiales!$B$2:$B$259</xm:f>
          </x14:formula1>
          <xm:sqref>A2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0CC5-A590-499B-B697-96CF71319452}">
  <sheetPr codeName="Hoja51"/>
  <dimension ref="A1:E16"/>
  <sheetViews>
    <sheetView workbookViewId="0">
      <selection activeCell="A8" sqref="A8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20</v>
      </c>
      <c r="E2" s="16">
        <v>8</v>
      </c>
    </row>
    <row r="3" spans="1:5" x14ac:dyDescent="0.25">
      <c r="A3" s="16" t="s">
        <v>346</v>
      </c>
      <c r="B3" t="str">
        <f t="shared" si="0"/>
        <v>Perno de Carroceria 3/8" x 5"</v>
      </c>
      <c r="C3" s="16" t="s">
        <v>3</v>
      </c>
      <c r="D3" s="16">
        <v>8</v>
      </c>
      <c r="E3" s="16">
        <v>8</v>
      </c>
    </row>
    <row r="4" spans="1:5" x14ac:dyDescent="0.25">
      <c r="A4" s="16" t="s">
        <v>376</v>
      </c>
      <c r="B4" t="str">
        <f t="shared" si="0"/>
        <v>Aislador de Suspensión ANSI C 52-9</v>
      </c>
      <c r="C4" s="16" t="s">
        <v>3</v>
      </c>
      <c r="D4" s="16">
        <v>12</v>
      </c>
      <c r="E4" s="16">
        <v>8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6" t="s">
        <v>3</v>
      </c>
      <c r="D5" s="16">
        <v>4</v>
      </c>
      <c r="E5" s="16">
        <v>4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6" t="s">
        <v>3</v>
      </c>
      <c r="D6" s="16">
        <v>8</v>
      </c>
      <c r="E6" s="16">
        <v>8</v>
      </c>
    </row>
    <row r="7" spans="1:5" x14ac:dyDescent="0.25">
      <c r="A7" s="16" t="s">
        <v>1174</v>
      </c>
      <c r="B7" t="str">
        <f t="shared" si="0"/>
        <v>Perno de Máquina de 1/2" x 10"</v>
      </c>
      <c r="C7" s="16" t="s">
        <v>3</v>
      </c>
      <c r="D7" s="16">
        <v>4</v>
      </c>
      <c r="E7" s="16">
        <v>4</v>
      </c>
    </row>
    <row r="8" spans="1:5" x14ac:dyDescent="0.25">
      <c r="A8" s="16" t="s">
        <v>333</v>
      </c>
      <c r="B8" t="str">
        <f t="shared" si="0"/>
        <v>Tuerca de Ojo de 5/8"</v>
      </c>
      <c r="C8" s="16" t="s">
        <v>3</v>
      </c>
      <c r="D8" s="16">
        <v>4</v>
      </c>
      <c r="E8" s="16">
        <v>4</v>
      </c>
    </row>
    <row r="9" spans="1:5" x14ac:dyDescent="0.25">
      <c r="A9" s="16" t="s">
        <v>5</v>
      </c>
      <c r="B9" t="str">
        <f t="shared" si="0"/>
        <v>Alambre de Amarre N° 6</v>
      </c>
      <c r="C9" s="16" t="s">
        <v>1227</v>
      </c>
      <c r="D9" s="16">
        <v>10</v>
      </c>
      <c r="E9" s="16">
        <v>20</v>
      </c>
    </row>
    <row r="10" spans="1:5" x14ac:dyDescent="0.25">
      <c r="A10" s="16" t="s">
        <v>4</v>
      </c>
      <c r="B10" t="str">
        <f t="shared" si="0"/>
        <v>Aislador de Espiga ANSI C 56-3</v>
      </c>
      <c r="C10" s="16" t="s">
        <v>3</v>
      </c>
      <c r="D10" s="16">
        <v>2</v>
      </c>
      <c r="E10" s="16">
        <v>0</v>
      </c>
    </row>
    <row r="11" spans="1:5" x14ac:dyDescent="0.25">
      <c r="A11" s="16" t="s">
        <v>336</v>
      </c>
      <c r="B11" t="str">
        <f t="shared" si="0"/>
        <v>Aislador de Espiga ANSI C 55-4</v>
      </c>
      <c r="C11" s="16" t="s">
        <v>3</v>
      </c>
      <c r="D11" s="16">
        <v>0</v>
      </c>
      <c r="E11" s="16">
        <v>2</v>
      </c>
    </row>
    <row r="12" spans="1:5" x14ac:dyDescent="0.25">
      <c r="A12" s="16" t="s">
        <v>335</v>
      </c>
      <c r="B12" t="str">
        <f t="shared" si="0"/>
        <v>Grapa Terminal tipo Recto para Conductor (1/0 - 4/0)</v>
      </c>
      <c r="C12" s="16" t="s">
        <v>3</v>
      </c>
      <c r="D12" s="16">
        <v>4</v>
      </c>
      <c r="E12" s="16">
        <v>4</v>
      </c>
    </row>
    <row r="13" spans="1:5" x14ac:dyDescent="0.25">
      <c r="A13" s="16" t="s">
        <v>389</v>
      </c>
      <c r="B13" t="str">
        <f t="shared" si="0"/>
        <v>Conector de Compresión YC 25A25 (1/0-1/0)</v>
      </c>
      <c r="C13" s="16" t="s">
        <v>3</v>
      </c>
      <c r="D13" s="16">
        <v>2</v>
      </c>
      <c r="E13" s="16">
        <v>2</v>
      </c>
    </row>
    <row r="14" spans="1:5" x14ac:dyDescent="0.25">
      <c r="A14" s="16" t="s">
        <v>337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25">
      <c r="A15" s="16" t="s">
        <v>338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25">
      <c r="A16" s="16" t="s">
        <v>419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B11464-1861-43E7-BF7B-C17FF3090340}">
          <x14:formula1>
            <xm:f>Materiales!$B$2:$B$259</xm:f>
          </x14:formula1>
          <xm:sqref>A2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CF6E-7487-4DBB-9548-615374DB0437}">
  <sheetPr codeName="Hoja52"/>
  <dimension ref="A1:E16"/>
  <sheetViews>
    <sheetView workbookViewId="0">
      <selection activeCell="C10" sqref="C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20</v>
      </c>
      <c r="E2" s="16">
        <v>8</v>
      </c>
    </row>
    <row r="3" spans="1:5" x14ac:dyDescent="0.25">
      <c r="A3" s="16" t="s">
        <v>346</v>
      </c>
      <c r="B3" t="str">
        <f t="shared" si="0"/>
        <v>Perno de Carroceria 3/8" x 5"</v>
      </c>
      <c r="C3" s="16" t="s">
        <v>3</v>
      </c>
      <c r="D3" s="16">
        <v>8</v>
      </c>
      <c r="E3" s="16">
        <v>8</v>
      </c>
    </row>
    <row r="4" spans="1:5" x14ac:dyDescent="0.25">
      <c r="A4" s="16" t="s">
        <v>376</v>
      </c>
      <c r="B4" t="str">
        <f t="shared" si="0"/>
        <v>Aislador de Suspensión ANSI C 52-9</v>
      </c>
      <c r="C4" s="16" t="s">
        <v>3</v>
      </c>
      <c r="D4" s="16">
        <v>15</v>
      </c>
      <c r="E4" s="16">
        <v>10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6" t="s">
        <v>3</v>
      </c>
      <c r="D5" s="16">
        <v>4</v>
      </c>
      <c r="E5" s="16">
        <v>4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6" t="s">
        <v>3</v>
      </c>
      <c r="D6" s="16">
        <v>8</v>
      </c>
      <c r="E6" s="16">
        <v>8</v>
      </c>
    </row>
    <row r="7" spans="1:5" x14ac:dyDescent="0.25">
      <c r="A7" s="16" t="s">
        <v>1174</v>
      </c>
      <c r="B7" t="str">
        <f t="shared" si="0"/>
        <v>Perno de Máquina de 1/2" x 10"</v>
      </c>
      <c r="C7" s="16" t="s">
        <v>3</v>
      </c>
      <c r="D7" s="16">
        <v>4</v>
      </c>
      <c r="E7" s="16">
        <v>4</v>
      </c>
    </row>
    <row r="8" spans="1:5" x14ac:dyDescent="0.25">
      <c r="A8" s="16" t="s">
        <v>333</v>
      </c>
      <c r="B8" t="str">
        <f t="shared" si="0"/>
        <v>Tuerca de Ojo de 5/8"</v>
      </c>
      <c r="C8" s="16" t="s">
        <v>3</v>
      </c>
      <c r="D8" s="16">
        <v>5</v>
      </c>
      <c r="E8" s="16">
        <v>5</v>
      </c>
    </row>
    <row r="9" spans="1:5" x14ac:dyDescent="0.25">
      <c r="A9" s="16" t="s">
        <v>5</v>
      </c>
      <c r="B9" t="str">
        <f t="shared" si="0"/>
        <v>Alambre de Amarre N° 6</v>
      </c>
      <c r="C9" s="16" t="s">
        <v>1227</v>
      </c>
      <c r="D9" s="16">
        <v>10</v>
      </c>
      <c r="E9" s="16">
        <v>20</v>
      </c>
    </row>
    <row r="10" spans="1:5" x14ac:dyDescent="0.25">
      <c r="A10" s="16" t="s">
        <v>4</v>
      </c>
      <c r="B10" t="str">
        <f t="shared" si="0"/>
        <v>Aislador de Espiga ANSI C 56-3</v>
      </c>
      <c r="C10" s="16" t="s">
        <v>3</v>
      </c>
      <c r="D10" s="16">
        <v>2</v>
      </c>
      <c r="E10" s="16">
        <v>0</v>
      </c>
    </row>
    <row r="11" spans="1:5" x14ac:dyDescent="0.25">
      <c r="A11" s="16" t="s">
        <v>336</v>
      </c>
      <c r="B11" t="str">
        <f t="shared" si="0"/>
        <v>Aislador de Espiga ANSI C 55-4</v>
      </c>
      <c r="C11" s="16" t="s">
        <v>3</v>
      </c>
      <c r="D11" s="16">
        <v>0</v>
      </c>
      <c r="E11" s="16">
        <v>2</v>
      </c>
    </row>
    <row r="12" spans="1:5" x14ac:dyDescent="0.25">
      <c r="A12" s="16" t="s">
        <v>335</v>
      </c>
      <c r="B12" t="str">
        <f t="shared" si="0"/>
        <v>Grapa Terminal tipo Recto para Conductor (1/0 - 4/0)</v>
      </c>
      <c r="C12" s="16" t="s">
        <v>3</v>
      </c>
      <c r="D12" s="16">
        <v>5</v>
      </c>
      <c r="E12" s="16">
        <v>5</v>
      </c>
    </row>
    <row r="13" spans="1:5" x14ac:dyDescent="0.25">
      <c r="A13" s="16" t="s">
        <v>389</v>
      </c>
      <c r="B13" t="str">
        <f t="shared" si="0"/>
        <v>Conector de Compresión YC 25A25 (1/0-1/0)</v>
      </c>
      <c r="C13" s="16" t="s">
        <v>3</v>
      </c>
      <c r="D13" s="16">
        <v>3</v>
      </c>
      <c r="E13" s="16">
        <v>3</v>
      </c>
    </row>
    <row r="14" spans="1:5" x14ac:dyDescent="0.25">
      <c r="A14" s="16" t="s">
        <v>337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25">
      <c r="A15" s="16" t="s">
        <v>338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25">
      <c r="A16" s="16" t="s">
        <v>419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4AEDAE-D129-4E72-862C-C6D47BB93425}">
          <x14:formula1>
            <xm:f>Materiales!$B$2:$B$259</xm:f>
          </x14:formula1>
          <xm:sqref>A2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0351-1290-411D-BD2D-60F60B3A5517}">
  <sheetPr codeName="Hoja53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7" si="0">VLOOKUP(A2,tmat,2,FALSE)</f>
        <v>Arandela Cuadrada 3/16" x 2-1/4" x 2-1/4", Ø=11/16"</v>
      </c>
      <c r="C2" s="16" t="s">
        <v>3</v>
      </c>
      <c r="D2" s="16">
        <v>8</v>
      </c>
      <c r="E2" s="16">
        <v>8</v>
      </c>
    </row>
    <row r="3" spans="1:5" x14ac:dyDescent="0.25">
      <c r="A3" s="16" t="s">
        <v>376</v>
      </c>
      <c r="B3" t="str">
        <f t="shared" si="0"/>
        <v>Aislador de Suspensión ANSI C 52-9</v>
      </c>
      <c r="C3" s="16" t="s">
        <v>3</v>
      </c>
      <c r="D3" s="16">
        <v>12</v>
      </c>
      <c r="E3" s="16">
        <v>8</v>
      </c>
    </row>
    <row r="4" spans="1:5" x14ac:dyDescent="0.25">
      <c r="A4" s="16" t="s">
        <v>335</v>
      </c>
      <c r="B4" t="str">
        <f t="shared" si="0"/>
        <v>Grapa Terminal tipo Recto para Conductor (1/0 - 4/0)</v>
      </c>
      <c r="C4" s="16" t="s">
        <v>3</v>
      </c>
      <c r="D4" s="16">
        <v>4</v>
      </c>
      <c r="E4" s="16">
        <v>4</v>
      </c>
    </row>
    <row r="5" spans="1:5" x14ac:dyDescent="0.25">
      <c r="A5" s="16" t="s">
        <v>334</v>
      </c>
      <c r="B5" t="str">
        <f t="shared" si="0"/>
        <v>Perno de Rosca Corrida 5/8" x 12"</v>
      </c>
      <c r="C5" s="16" t="s">
        <v>3</v>
      </c>
      <c r="D5" s="16">
        <v>4</v>
      </c>
      <c r="E5" s="16">
        <v>4</v>
      </c>
    </row>
    <row r="6" spans="1:5" x14ac:dyDescent="0.25">
      <c r="A6" s="16" t="s">
        <v>333</v>
      </c>
      <c r="B6" t="str">
        <f t="shared" si="0"/>
        <v>Tuerca de Ojo de 5/8"</v>
      </c>
      <c r="C6" s="16" t="s">
        <v>3</v>
      </c>
      <c r="D6" s="16">
        <v>4</v>
      </c>
      <c r="E6" s="16">
        <v>4</v>
      </c>
    </row>
    <row r="7" spans="1:5" x14ac:dyDescent="0.25">
      <c r="A7" s="16" t="s">
        <v>389</v>
      </c>
      <c r="B7" t="str">
        <f t="shared" si="0"/>
        <v>Conector de Compresión YC 25A25 (1/0-1/0)</v>
      </c>
      <c r="C7" s="16" t="s">
        <v>3</v>
      </c>
      <c r="D7" s="16">
        <v>2</v>
      </c>
      <c r="E7" s="16">
        <v>2</v>
      </c>
    </row>
    <row r="8" spans="1:5" x14ac:dyDescent="0.25">
      <c r="A8" s="16"/>
      <c r="B8" s="16"/>
      <c r="C8" s="16"/>
      <c r="D8" s="16"/>
      <c r="E8" s="16"/>
    </row>
    <row r="9" spans="1:5" x14ac:dyDescent="0.25">
      <c r="A9" s="16"/>
      <c r="B9" s="16"/>
      <c r="C9" s="16"/>
      <c r="D9" s="16"/>
      <c r="E9" s="16"/>
    </row>
    <row r="10" spans="1:5" x14ac:dyDescent="0.25">
      <c r="A10" s="16"/>
      <c r="B10" s="16"/>
      <c r="C10" s="16"/>
      <c r="D10" s="16"/>
      <c r="E10" s="16"/>
    </row>
    <row r="11" spans="1:5" x14ac:dyDescent="0.25">
      <c r="A11" s="16"/>
      <c r="B11" s="16"/>
      <c r="C11" s="16"/>
      <c r="D11" s="16"/>
      <c r="E11" s="16"/>
    </row>
    <row r="12" spans="1:5" x14ac:dyDescent="0.25">
      <c r="A12" s="16"/>
      <c r="B12" s="16"/>
      <c r="C12" s="16"/>
      <c r="D12" s="16"/>
      <c r="E12" s="16"/>
    </row>
    <row r="13" spans="1:5" x14ac:dyDescent="0.25">
      <c r="A13" s="16"/>
      <c r="B13" s="16"/>
      <c r="C13" s="16"/>
      <c r="D13" s="16"/>
      <c r="E13" s="16"/>
    </row>
    <row r="14" spans="1:5" x14ac:dyDescent="0.25">
      <c r="A14" s="16"/>
      <c r="B14" s="16"/>
      <c r="C14" s="16"/>
      <c r="D14" s="16"/>
      <c r="E14" s="16"/>
    </row>
    <row r="15" spans="1:5" x14ac:dyDescent="0.25">
      <c r="A15" s="16"/>
      <c r="B15" s="16"/>
      <c r="C15" s="16"/>
      <c r="D15" s="16"/>
      <c r="E15" s="16"/>
    </row>
    <row r="16" spans="1:5" x14ac:dyDescent="0.25">
      <c r="A16" s="16"/>
      <c r="B16" s="16"/>
      <c r="C16" s="16"/>
      <c r="D16" s="16"/>
      <c r="E16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32CA82-F131-43DD-8B5D-6BE052903B4A}">
          <x14:formula1>
            <xm:f>Materiales!$B$2:$B$259</xm:f>
          </x14:formula1>
          <xm:sqref>A2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871D-924E-4D38-A45E-1F09E30BBF42}">
  <sheetPr codeName="Hoja54"/>
  <dimension ref="A1:E21"/>
  <sheetViews>
    <sheetView workbookViewId="0">
      <selection activeCell="C9" sqref="C9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6</v>
      </c>
      <c r="E2" s="18">
        <v>6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25">
      <c r="A4" s="16" t="s">
        <v>401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347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25">
      <c r="A6" s="16" t="s">
        <v>1174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333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5</v>
      </c>
      <c r="B8" t="str">
        <f t="shared" si="0"/>
        <v>Alambre de Amarre N° 6</v>
      </c>
      <c r="C8" s="18" t="s">
        <v>1227</v>
      </c>
      <c r="D8" s="18">
        <v>20</v>
      </c>
      <c r="E8" s="18">
        <v>20</v>
      </c>
    </row>
    <row r="9" spans="1:5" x14ac:dyDescent="0.25">
      <c r="A9" t="s">
        <v>441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25">
      <c r="A10" s="16" t="s">
        <v>340</v>
      </c>
      <c r="B10" t="str">
        <f t="shared" si="0"/>
        <v>Perno de Máquina de 5/8" x 8"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341</v>
      </c>
      <c r="B11" t="str">
        <f t="shared" si="0"/>
        <v>Puntal Angular de 60", 1-3/4" x 1-3/4" x 3/16"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337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25">
      <c r="A13" s="16" t="s">
        <v>338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  <row r="14" spans="1:5" x14ac:dyDescent="0.25">
      <c r="A14" s="16" t="s">
        <v>419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25">
      <c r="A15" s="16" t="s">
        <v>335</v>
      </c>
      <c r="B15" t="str">
        <f t="shared" si="0"/>
        <v>Grapa Terminal tipo Recto para Conductor (1/0 - 4/0)</v>
      </c>
      <c r="C15" s="18" t="s">
        <v>3</v>
      </c>
      <c r="D15" s="18">
        <v>2</v>
      </c>
      <c r="E15" s="18">
        <v>2</v>
      </c>
    </row>
    <row r="16" spans="1:5" x14ac:dyDescent="0.25">
      <c r="A16" s="16" t="s">
        <v>4</v>
      </c>
      <c r="B16" t="str">
        <f t="shared" si="0"/>
        <v>Aislador de Espiga ANSI C 56-3</v>
      </c>
      <c r="C16" s="18" t="s">
        <v>3</v>
      </c>
      <c r="D16" s="18">
        <v>2</v>
      </c>
      <c r="E16" s="18">
        <v>0</v>
      </c>
    </row>
    <row r="17" spans="1:5" x14ac:dyDescent="0.25">
      <c r="A17" t="s">
        <v>336</v>
      </c>
      <c r="B17" t="str">
        <f t="shared" si="0"/>
        <v>Aislador de Espiga ANSI C 55-4</v>
      </c>
      <c r="C17" s="14" t="s">
        <v>3</v>
      </c>
      <c r="D17" s="14">
        <v>0</v>
      </c>
      <c r="E17" s="14">
        <v>2</v>
      </c>
    </row>
    <row r="18" spans="1:5" x14ac:dyDescent="0.25">
      <c r="A18" t="s">
        <v>348</v>
      </c>
      <c r="B18" t="str">
        <f t="shared" si="0"/>
        <v>Perno de Máquina de 5/8" x 14"</v>
      </c>
      <c r="C18" s="14" t="s">
        <v>3</v>
      </c>
      <c r="D18" s="14">
        <v>1</v>
      </c>
      <c r="E18" s="14">
        <v>1</v>
      </c>
    </row>
    <row r="19" spans="1:5" x14ac:dyDescent="0.25">
      <c r="A19" t="s">
        <v>339</v>
      </c>
      <c r="B19" t="str">
        <f t="shared" si="0"/>
        <v>Crucete de Madera Curada de 4" x 5" x 96" /Voladizo</v>
      </c>
      <c r="C19" s="14" t="s">
        <v>3</v>
      </c>
      <c r="D19" s="14">
        <v>1</v>
      </c>
      <c r="E19" s="14">
        <v>1</v>
      </c>
    </row>
    <row r="20" spans="1:5" x14ac:dyDescent="0.25">
      <c r="A20" t="s">
        <v>389</v>
      </c>
      <c r="B20" t="str">
        <f t="shared" si="0"/>
        <v>Conector de Compresión YC 25A25 (1/0-1/0)</v>
      </c>
      <c r="C20" s="14" t="s">
        <v>3</v>
      </c>
      <c r="D20" s="14">
        <v>2</v>
      </c>
      <c r="E20" s="14">
        <v>2</v>
      </c>
    </row>
    <row r="21" spans="1:5" x14ac:dyDescent="0.25">
      <c r="A21" t="s">
        <v>346</v>
      </c>
      <c r="B21" t="str">
        <f t="shared" si="0"/>
        <v>Perno de Carroceria 3/8" x 5"</v>
      </c>
      <c r="C21" s="14" t="s">
        <v>3</v>
      </c>
      <c r="D21" s="14">
        <v>4</v>
      </c>
      <c r="E21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9AB4AD-29C8-446E-B9C6-76D693150665}">
          <x14:formula1>
            <xm:f>Materiales!$B$2:$B$259</xm:f>
          </x14:formula1>
          <xm:sqref>A2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858E-54EE-4ACB-9F89-5EF369C89DF3}">
  <sheetPr codeName="Hoja55"/>
  <dimension ref="A1:E19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4</v>
      </c>
      <c r="E2" s="18">
        <v>4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25">
      <c r="A4" s="16" t="s">
        <v>401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347</v>
      </c>
      <c r="B5" t="str">
        <f t="shared" si="0"/>
        <v>Tirante de Pletina de 1/4" x 1-1/4" x 30"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1174</v>
      </c>
      <c r="B6" t="str">
        <f t="shared" si="0"/>
        <v>Perno de Máquina de 1/2" x 10"</v>
      </c>
      <c r="C6" s="18" t="s">
        <v>3</v>
      </c>
      <c r="D6" s="18">
        <v>1</v>
      </c>
      <c r="E6" s="18">
        <v>1</v>
      </c>
    </row>
    <row r="7" spans="1:5" x14ac:dyDescent="0.25">
      <c r="A7" s="16" t="s">
        <v>333</v>
      </c>
      <c r="B7" t="str">
        <f t="shared" si="0"/>
        <v>Tuerca de Ojo de 5/8"</v>
      </c>
      <c r="C7" s="18" t="s">
        <v>3</v>
      </c>
      <c r="D7" s="18">
        <v>1</v>
      </c>
      <c r="E7" s="18">
        <v>1</v>
      </c>
    </row>
    <row r="8" spans="1:5" x14ac:dyDescent="0.25">
      <c r="A8" s="16" t="s">
        <v>5</v>
      </c>
      <c r="B8" t="str">
        <f t="shared" si="0"/>
        <v>Alambre de Amarre N° 6</v>
      </c>
      <c r="C8" s="18" t="s">
        <v>1227</v>
      </c>
      <c r="D8" s="18">
        <v>10</v>
      </c>
      <c r="E8" s="18">
        <v>10</v>
      </c>
    </row>
    <row r="9" spans="1:5" x14ac:dyDescent="0.25">
      <c r="A9" t="s">
        <v>441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25">
      <c r="A10" s="16" t="s">
        <v>340</v>
      </c>
      <c r="B10" t="str">
        <f t="shared" si="0"/>
        <v>Perno de Máquina de 5/8" x 8"</v>
      </c>
      <c r="C10" s="18" t="s">
        <v>3</v>
      </c>
      <c r="D10" s="18">
        <v>1</v>
      </c>
      <c r="E10" s="18">
        <v>1</v>
      </c>
    </row>
    <row r="11" spans="1:5" x14ac:dyDescent="0.25">
      <c r="A11" s="16" t="s">
        <v>341</v>
      </c>
      <c r="B11" t="str">
        <f t="shared" si="0"/>
        <v>Puntal Angular de 60", 1-3/4" x 1-3/4" x 3/16"</v>
      </c>
      <c r="C11" s="18" t="s">
        <v>3</v>
      </c>
      <c r="D11" s="18">
        <v>1</v>
      </c>
      <c r="E11" s="18">
        <v>1</v>
      </c>
    </row>
    <row r="12" spans="1:5" x14ac:dyDescent="0.25">
      <c r="A12" s="16" t="s">
        <v>337</v>
      </c>
      <c r="B12" t="str">
        <f t="shared" si="0"/>
        <v>Espiga para Cruceta de Madera, L=6" Rosca 1", Φ = 3/4"</v>
      </c>
      <c r="C12" s="18" t="s">
        <v>3</v>
      </c>
      <c r="D12" s="18">
        <v>1</v>
      </c>
      <c r="E12" s="18">
        <v>0</v>
      </c>
    </row>
    <row r="13" spans="1:5" x14ac:dyDescent="0.25">
      <c r="A13" s="16" t="s">
        <v>338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1</v>
      </c>
    </row>
    <row r="14" spans="1:5" x14ac:dyDescent="0.25">
      <c r="A14" s="16" t="s">
        <v>334</v>
      </c>
      <c r="B14" t="str">
        <f t="shared" si="0"/>
        <v>Perno de Rosca Corrida 5/8" x 12"</v>
      </c>
      <c r="C14" s="18" t="s">
        <v>3</v>
      </c>
      <c r="D14" s="18">
        <v>1</v>
      </c>
      <c r="E14" s="18">
        <v>1</v>
      </c>
    </row>
    <row r="15" spans="1:5" x14ac:dyDescent="0.25">
      <c r="A15" s="16" t="s">
        <v>335</v>
      </c>
      <c r="B15" t="str">
        <f t="shared" si="0"/>
        <v>Grapa Terminal tipo Recto para Conductor (1/0 - 4/0)</v>
      </c>
      <c r="C15" s="18" t="s">
        <v>3</v>
      </c>
      <c r="D15" s="18">
        <v>1</v>
      </c>
      <c r="E15" s="18">
        <v>1</v>
      </c>
    </row>
    <row r="16" spans="1:5" x14ac:dyDescent="0.25">
      <c r="A16" s="16" t="s">
        <v>4</v>
      </c>
      <c r="B16" t="str">
        <f t="shared" si="0"/>
        <v>Aislador de Espiga ANSI C 56-3</v>
      </c>
      <c r="C16" s="18" t="s">
        <v>3</v>
      </c>
      <c r="D16" s="18">
        <v>1</v>
      </c>
      <c r="E16" s="18">
        <v>0</v>
      </c>
    </row>
    <row r="17" spans="1:5" x14ac:dyDescent="0.25">
      <c r="A17" t="s">
        <v>336</v>
      </c>
      <c r="B17" t="str">
        <f t="shared" si="0"/>
        <v>Aislador de Espiga ANSI C 55-4</v>
      </c>
      <c r="C17" s="14" t="s">
        <v>3</v>
      </c>
      <c r="D17" s="14">
        <v>0</v>
      </c>
      <c r="E17" s="14">
        <v>1</v>
      </c>
    </row>
    <row r="18" spans="1:5" x14ac:dyDescent="0.25">
      <c r="A18" t="s">
        <v>339</v>
      </c>
      <c r="B18" t="str">
        <f t="shared" si="0"/>
        <v>Crucete de Madera Curada de 4" x 5" x 96" /Voladizo</v>
      </c>
      <c r="C18" s="14" t="s">
        <v>3</v>
      </c>
      <c r="D18" s="14">
        <v>1</v>
      </c>
      <c r="E18" s="14">
        <v>1</v>
      </c>
    </row>
    <row r="19" spans="1:5" x14ac:dyDescent="0.25">
      <c r="A19" t="s">
        <v>389</v>
      </c>
      <c r="B19" t="str">
        <f t="shared" si="0"/>
        <v>Conector de Compresión YC 25A25 (1/0-1/0)</v>
      </c>
      <c r="C19" s="14" t="s">
        <v>3</v>
      </c>
      <c r="D19" s="14">
        <v>1</v>
      </c>
      <c r="E19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46C716-AD59-4190-9EED-75512055E2FA}">
          <x14:formula1>
            <xm:f>Materiales!$B$2:$B$259</xm:f>
          </x14:formula1>
          <xm:sqref>A2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90CF-9952-44D4-8BFA-3FA9CA9AE7E0}">
  <sheetPr codeName="Hoja56"/>
  <dimension ref="A1:E21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13</v>
      </c>
      <c r="E2" s="18">
        <v>13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25">
      <c r="A4" s="16" t="s">
        <v>401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347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25">
      <c r="A6" s="16" t="s">
        <v>1174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333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5</v>
      </c>
      <c r="B8" t="str">
        <f t="shared" si="0"/>
        <v>Alambre de Amarre N° 6</v>
      </c>
      <c r="C8" s="18" t="s">
        <v>1227</v>
      </c>
      <c r="D8" s="18">
        <v>20</v>
      </c>
      <c r="E8" s="18">
        <v>20</v>
      </c>
    </row>
    <row r="9" spans="1:5" x14ac:dyDescent="0.25">
      <c r="A9" t="s">
        <v>441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25">
      <c r="A10" s="16" t="s">
        <v>340</v>
      </c>
      <c r="B10" t="str">
        <f t="shared" si="0"/>
        <v>Perno de Máquina de 5/8" x 8"</v>
      </c>
      <c r="C10" s="18" t="s">
        <v>3</v>
      </c>
      <c r="D10" s="18">
        <v>1</v>
      </c>
      <c r="E10" s="18">
        <v>1</v>
      </c>
    </row>
    <row r="11" spans="1:5" x14ac:dyDescent="0.25">
      <c r="A11" s="16" t="s">
        <v>341</v>
      </c>
      <c r="B11" t="str">
        <f t="shared" si="0"/>
        <v>Puntal Angular de 60", 1-3/4" x 1-3/4" x 3/16"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337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25">
      <c r="A13" s="16" t="s">
        <v>338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  <row r="14" spans="1:5" x14ac:dyDescent="0.25">
      <c r="A14" s="16" t="s">
        <v>419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25">
      <c r="A15" s="16" t="s">
        <v>335</v>
      </c>
      <c r="B15" t="str">
        <f t="shared" si="0"/>
        <v>Grapa Terminal tipo Recto para Conductor (1/0 - 4/0)</v>
      </c>
      <c r="C15" s="18" t="s">
        <v>3</v>
      </c>
      <c r="D15" s="18">
        <v>2</v>
      </c>
      <c r="E15" s="18">
        <v>2</v>
      </c>
    </row>
    <row r="16" spans="1:5" x14ac:dyDescent="0.25">
      <c r="A16" s="16" t="s">
        <v>4</v>
      </c>
      <c r="B16" t="str">
        <f t="shared" si="0"/>
        <v>Aislador de Espiga ANSI C 56-3</v>
      </c>
      <c r="C16" s="18" t="s">
        <v>3</v>
      </c>
      <c r="D16" s="18">
        <v>2</v>
      </c>
      <c r="E16" s="18">
        <v>0</v>
      </c>
    </row>
    <row r="17" spans="1:5" x14ac:dyDescent="0.25">
      <c r="A17" t="s">
        <v>336</v>
      </c>
      <c r="B17" t="str">
        <f t="shared" si="0"/>
        <v>Aislador de Espiga ANSI C 55-4</v>
      </c>
      <c r="C17" s="14" t="s">
        <v>3</v>
      </c>
      <c r="D17" s="14">
        <v>0</v>
      </c>
      <c r="E17" s="14">
        <v>2</v>
      </c>
    </row>
    <row r="18" spans="1:5" x14ac:dyDescent="0.25">
      <c r="A18" t="s">
        <v>348</v>
      </c>
      <c r="B18" t="str">
        <f t="shared" si="0"/>
        <v>Perno de Máquina de 5/8" x 14"</v>
      </c>
      <c r="C18" s="14" t="s">
        <v>3</v>
      </c>
      <c r="D18" s="14">
        <v>1</v>
      </c>
      <c r="E18" s="14">
        <v>1</v>
      </c>
    </row>
    <row r="19" spans="1:5" x14ac:dyDescent="0.25">
      <c r="A19" t="s">
        <v>339</v>
      </c>
      <c r="B19" t="str">
        <f t="shared" si="0"/>
        <v>Crucete de Madera Curada de 4" x 5" x 96" /Voladizo</v>
      </c>
      <c r="C19" s="14" t="s">
        <v>3</v>
      </c>
      <c r="D19" s="14">
        <v>1</v>
      </c>
      <c r="E19" s="14">
        <v>1</v>
      </c>
    </row>
    <row r="20" spans="1:5" x14ac:dyDescent="0.25">
      <c r="A20" t="s">
        <v>389</v>
      </c>
      <c r="B20" t="str">
        <f t="shared" si="0"/>
        <v>Conector de Compresión YC 25A25 (1/0-1/0)</v>
      </c>
      <c r="C20" s="14" t="s">
        <v>3</v>
      </c>
      <c r="D20" s="14">
        <v>2</v>
      </c>
      <c r="E20" s="14">
        <v>2</v>
      </c>
    </row>
    <row r="21" spans="1:5" x14ac:dyDescent="0.25">
      <c r="A21" t="s">
        <v>346</v>
      </c>
      <c r="B21" t="str">
        <f t="shared" si="0"/>
        <v>Perno de Carroceria 3/8" x 5"</v>
      </c>
      <c r="C21" s="14" t="s">
        <v>3</v>
      </c>
      <c r="D21" s="14">
        <v>4</v>
      </c>
      <c r="E21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C8D19-E331-4D7B-A3FC-B361580B7775}">
          <x14:formula1>
            <xm:f>Materiales!$B$2:$B$259</xm:f>
          </x14:formula1>
          <xm:sqref>A2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6581-6719-4677-A67B-E13D5F813225}">
  <sheetPr codeName="Hoja57"/>
  <dimension ref="A1:E18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8" si="0">VLOOKUP(A2,tmat,2,FALSE)</f>
        <v>Arandela Cuadrada 3/16" x 2-1/4" x 2-1/4", Ø=11/16"</v>
      </c>
      <c r="C2" s="18" t="s">
        <v>3</v>
      </c>
      <c r="D2" s="18">
        <v>5</v>
      </c>
      <c r="E2" s="18">
        <v>5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25">
      <c r="A4" s="16" t="s">
        <v>1174</v>
      </c>
      <c r="B4" t="str">
        <f t="shared" si="0"/>
        <v>Perno de Máquina de 1/2" x 10"</v>
      </c>
      <c r="C4" s="18" t="s">
        <v>3</v>
      </c>
      <c r="D4" s="18">
        <v>1</v>
      </c>
      <c r="E4" s="18">
        <v>1</v>
      </c>
    </row>
    <row r="5" spans="1:5" x14ac:dyDescent="0.25">
      <c r="A5" s="16" t="s">
        <v>333</v>
      </c>
      <c r="B5" t="str">
        <f t="shared" si="0"/>
        <v>Tuerca de Ojo de 5/8"</v>
      </c>
      <c r="C5" s="18" t="s">
        <v>3</v>
      </c>
      <c r="D5" s="18">
        <v>1</v>
      </c>
      <c r="E5" s="18">
        <v>1</v>
      </c>
    </row>
    <row r="6" spans="1:5" x14ac:dyDescent="0.25">
      <c r="A6" s="16" t="s">
        <v>5</v>
      </c>
      <c r="B6" t="str">
        <f t="shared" si="0"/>
        <v>Alambre de Amarre N° 6</v>
      </c>
      <c r="C6" s="18" t="s">
        <v>1227</v>
      </c>
      <c r="D6" s="18">
        <v>10</v>
      </c>
      <c r="E6" s="18">
        <v>10</v>
      </c>
    </row>
    <row r="7" spans="1:5" x14ac:dyDescent="0.25">
      <c r="A7" t="s">
        <v>441</v>
      </c>
      <c r="B7" t="str">
        <f t="shared" si="0"/>
        <v>Varilla de Armar Preformado para Cable ASCR # 1/0 AWG</v>
      </c>
      <c r="C7" s="14" t="s">
        <v>3</v>
      </c>
      <c r="D7" s="14">
        <v>2</v>
      </c>
      <c r="E7" s="14">
        <v>2</v>
      </c>
    </row>
    <row r="8" spans="1:5" x14ac:dyDescent="0.25">
      <c r="A8" s="16" t="s">
        <v>340</v>
      </c>
      <c r="B8" t="str">
        <f t="shared" si="0"/>
        <v>Perno de Máquina de 5/8" x 8"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341</v>
      </c>
      <c r="B9" t="str">
        <f t="shared" si="0"/>
        <v>Puntal Angular de 60", 1-3/4" x 1-3/4" x 3/16"</v>
      </c>
      <c r="C9" s="18" t="s">
        <v>3</v>
      </c>
      <c r="D9" s="18">
        <v>1</v>
      </c>
      <c r="E9" s="18">
        <v>1</v>
      </c>
    </row>
    <row r="10" spans="1:5" x14ac:dyDescent="0.25">
      <c r="A10" s="16" t="s">
        <v>337</v>
      </c>
      <c r="B10" t="str">
        <f t="shared" si="0"/>
        <v>Espiga para Cruceta de Madera, L=6" Rosca 1", Φ = 3/4"</v>
      </c>
      <c r="C10" s="18" t="s">
        <v>3</v>
      </c>
      <c r="D10" s="18">
        <v>1</v>
      </c>
      <c r="E10" s="18">
        <v>0</v>
      </c>
    </row>
    <row r="11" spans="1:5" x14ac:dyDescent="0.25">
      <c r="A11" s="16" t="s">
        <v>338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1</v>
      </c>
    </row>
    <row r="12" spans="1:5" x14ac:dyDescent="0.25">
      <c r="A12" s="16" t="s">
        <v>334</v>
      </c>
      <c r="B12" t="str">
        <f t="shared" si="0"/>
        <v>Perno de Rosca Corrida 5/8" x 12"</v>
      </c>
      <c r="C12" s="18" t="s">
        <v>3</v>
      </c>
      <c r="D12" s="18">
        <v>1</v>
      </c>
      <c r="E12" s="18">
        <v>1</v>
      </c>
    </row>
    <row r="13" spans="1:5" x14ac:dyDescent="0.25">
      <c r="A13" s="16" t="s">
        <v>335</v>
      </c>
      <c r="B13" t="str">
        <f t="shared" si="0"/>
        <v>Grapa Terminal tipo Recto para Conductor (1/0 - 4/0)</v>
      </c>
      <c r="C13" s="18" t="s">
        <v>3</v>
      </c>
      <c r="D13" s="18">
        <v>1</v>
      </c>
      <c r="E13" s="18">
        <v>1</v>
      </c>
    </row>
    <row r="14" spans="1:5" x14ac:dyDescent="0.25">
      <c r="A14" s="16" t="s">
        <v>4</v>
      </c>
      <c r="B14" t="str">
        <f t="shared" si="0"/>
        <v>Aislador de Espiga ANSI C 56-3</v>
      </c>
      <c r="C14" s="18" t="s">
        <v>3</v>
      </c>
      <c r="D14" s="18">
        <v>1</v>
      </c>
      <c r="E14" s="18">
        <v>0</v>
      </c>
    </row>
    <row r="15" spans="1:5" x14ac:dyDescent="0.25">
      <c r="A15" s="16" t="s">
        <v>336</v>
      </c>
      <c r="B15" t="str">
        <f t="shared" si="0"/>
        <v>Aislador de Espiga ANSI C 55-4</v>
      </c>
      <c r="C15" s="18" t="s">
        <v>3</v>
      </c>
      <c r="D15" s="18">
        <v>0</v>
      </c>
      <c r="E15" s="18">
        <v>1</v>
      </c>
    </row>
    <row r="16" spans="1:5" x14ac:dyDescent="0.25">
      <c r="A16" s="16" t="s">
        <v>348</v>
      </c>
      <c r="B16" t="str">
        <f t="shared" si="0"/>
        <v>Perno de Máquina de 5/8" x 14"</v>
      </c>
      <c r="C16" s="18" t="s">
        <v>3</v>
      </c>
      <c r="D16" s="18">
        <v>1</v>
      </c>
      <c r="E16" s="18">
        <v>1</v>
      </c>
    </row>
    <row r="17" spans="1:5" x14ac:dyDescent="0.25">
      <c r="A17" t="s">
        <v>339</v>
      </c>
      <c r="B17" t="str">
        <f t="shared" si="0"/>
        <v>Crucete de Madera Curada de 4" x 5" x 96" /Voladizo</v>
      </c>
      <c r="C17" s="14" t="s">
        <v>3</v>
      </c>
      <c r="D17" s="14">
        <v>1</v>
      </c>
      <c r="E17" s="14">
        <v>1</v>
      </c>
    </row>
    <row r="18" spans="1:5" x14ac:dyDescent="0.25">
      <c r="A18" t="s">
        <v>389</v>
      </c>
      <c r="B18" t="str">
        <f t="shared" si="0"/>
        <v>Conector de Compresión YC 25A25 (1/0-1/0)</v>
      </c>
      <c r="C18" s="14" t="s">
        <v>3</v>
      </c>
      <c r="D18" s="14">
        <v>1</v>
      </c>
      <c r="E18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D4396F-CFD6-422A-BB5D-78C217C13523}">
          <x14:formula1>
            <xm:f>Materiales!$B$2:$B$259</xm:f>
          </x14:formula1>
          <xm:sqref>A2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3ED2-57FB-4150-869A-A39F4C59B216}">
  <sheetPr codeName="Hoja58"/>
  <dimension ref="A1:E19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20</v>
      </c>
      <c r="E2" s="18">
        <v>20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8</v>
      </c>
      <c r="E3" s="18">
        <v>8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4</v>
      </c>
      <c r="E5" s="18">
        <v>4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8" t="s">
        <v>3</v>
      </c>
      <c r="D6" s="18">
        <v>8</v>
      </c>
      <c r="E6" s="18">
        <v>8</v>
      </c>
    </row>
    <row r="7" spans="1:5" x14ac:dyDescent="0.25">
      <c r="A7" s="16" t="s">
        <v>1174</v>
      </c>
      <c r="B7" t="str">
        <f t="shared" si="0"/>
        <v>Perno de Máquina de 1/2" x 10"</v>
      </c>
      <c r="C7" s="18" t="s">
        <v>3</v>
      </c>
      <c r="D7" s="18">
        <v>4</v>
      </c>
      <c r="E7" s="18">
        <v>4</v>
      </c>
    </row>
    <row r="8" spans="1:5" x14ac:dyDescent="0.25">
      <c r="A8" s="16" t="s">
        <v>333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1227</v>
      </c>
      <c r="D9" s="18">
        <v>25</v>
      </c>
      <c r="E9" s="18">
        <v>25</v>
      </c>
    </row>
    <row r="10" spans="1:5" x14ac:dyDescent="0.25">
      <c r="A10" t="s">
        <v>441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25">
      <c r="A11" s="16" t="s">
        <v>340</v>
      </c>
      <c r="B11" t="str">
        <f t="shared" si="0"/>
        <v>Perno de Máquina de 5/8" x 8"</v>
      </c>
      <c r="C11" s="18" t="s">
        <v>3</v>
      </c>
      <c r="D11" s="18">
        <v>5</v>
      </c>
      <c r="E11" s="18">
        <v>0</v>
      </c>
    </row>
    <row r="12" spans="1:5" x14ac:dyDescent="0.25">
      <c r="A12" s="16" t="s">
        <v>337</v>
      </c>
      <c r="B12" t="str">
        <f t="shared" si="0"/>
        <v>Espiga para Cruceta de Madera, L=6" Rosca 1", Φ = 3/4"</v>
      </c>
      <c r="C12" s="18" t="s">
        <v>3</v>
      </c>
      <c r="D12" s="18">
        <v>0</v>
      </c>
      <c r="E12" s="18">
        <v>4</v>
      </c>
    </row>
    <row r="13" spans="1:5" x14ac:dyDescent="0.25">
      <c r="A13" s="16" t="s">
        <v>338</v>
      </c>
      <c r="B13" t="str">
        <f t="shared" si="0"/>
        <v>Espiga para Cruceta de Madera, L=8" Rosca 1-3/8", Φ = 3/4"</v>
      </c>
      <c r="C13" s="18" t="s">
        <v>3</v>
      </c>
      <c r="D13" s="18">
        <v>4</v>
      </c>
      <c r="E13" s="18">
        <v>0</v>
      </c>
    </row>
    <row r="14" spans="1:5" x14ac:dyDescent="0.25">
      <c r="A14" s="16" t="s">
        <v>423</v>
      </c>
      <c r="B14" t="str">
        <f t="shared" si="0"/>
        <v>Pletina Espaciadora para Crucete Madera 1/2" x 4" x 24"</v>
      </c>
      <c r="C14" s="18" t="s">
        <v>3</v>
      </c>
      <c r="D14" s="18">
        <v>6</v>
      </c>
      <c r="E14" s="18">
        <v>6</v>
      </c>
    </row>
    <row r="15" spans="1:5" x14ac:dyDescent="0.25">
      <c r="A15" s="16" t="s">
        <v>419</v>
      </c>
      <c r="B15" t="str">
        <f t="shared" si="0"/>
        <v>Perno de Rosca Corrida 5/8" x 20"</v>
      </c>
      <c r="C15" s="18" t="s">
        <v>3</v>
      </c>
      <c r="D15" s="18">
        <v>6</v>
      </c>
      <c r="E15" s="18">
        <v>6</v>
      </c>
    </row>
    <row r="16" spans="1:5" x14ac:dyDescent="0.25">
      <c r="A16" s="16" t="s">
        <v>335</v>
      </c>
      <c r="B16" t="str">
        <f t="shared" si="0"/>
        <v>Grapa Terminal tipo Recto para Conductor (1/0 - 4/0)</v>
      </c>
      <c r="C16" s="18" t="s">
        <v>3</v>
      </c>
      <c r="D16" s="18">
        <v>2</v>
      </c>
      <c r="E16" s="18">
        <v>2</v>
      </c>
    </row>
    <row r="17" spans="1:5" x14ac:dyDescent="0.25">
      <c r="A17" t="s">
        <v>4</v>
      </c>
      <c r="B17" t="str">
        <f t="shared" si="0"/>
        <v>Aislador de Espiga ANSI C 56-3</v>
      </c>
      <c r="C17" s="14" t="s">
        <v>3</v>
      </c>
      <c r="D17" s="14">
        <v>5</v>
      </c>
      <c r="E17" s="14">
        <v>0</v>
      </c>
    </row>
    <row r="18" spans="1:5" x14ac:dyDescent="0.25">
      <c r="A18" t="s">
        <v>336</v>
      </c>
      <c r="B18" t="str">
        <f t="shared" si="0"/>
        <v>Aislador de Espiga ANSI C 55-4</v>
      </c>
      <c r="C18" s="14" t="s">
        <v>3</v>
      </c>
      <c r="D18" s="14">
        <v>0</v>
      </c>
      <c r="E18" s="14">
        <v>5</v>
      </c>
    </row>
    <row r="19" spans="1:5" x14ac:dyDescent="0.25">
      <c r="A19" t="s">
        <v>389</v>
      </c>
      <c r="B19" t="str">
        <f t="shared" si="0"/>
        <v>Conector de Compresión YC 25A25 (1/0-1/0)</v>
      </c>
      <c r="C19" s="14" t="s">
        <v>3</v>
      </c>
      <c r="D19" s="14">
        <v>2</v>
      </c>
      <c r="E19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E16B0F-5DC7-4CD4-8C0B-9CD5705FB1F0}">
          <x14:formula1>
            <xm:f>Materiales!$B$2:$B$259</xm:f>
          </x14:formula1>
          <xm:sqref>A2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99F9-1FBB-4EDF-8AFE-6463CC036C66}">
  <sheetPr codeName="Hoja59"/>
  <dimension ref="A1:E20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20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3</v>
      </c>
      <c r="E4" s="18">
        <v>2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1174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333</v>
      </c>
      <c r="B8" t="str">
        <f t="shared" si="0"/>
        <v>Tuerca de Ojo de 5/8"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1227</v>
      </c>
      <c r="D9" s="18">
        <v>20</v>
      </c>
      <c r="E9" s="18">
        <v>20</v>
      </c>
    </row>
    <row r="10" spans="1:5" x14ac:dyDescent="0.25">
      <c r="A10" t="s">
        <v>441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25">
      <c r="A11" s="16" t="s">
        <v>340</v>
      </c>
      <c r="B11" t="str">
        <f t="shared" si="0"/>
        <v>Perno de Máquina de 5/8" x 8"</v>
      </c>
      <c r="C11" s="18" t="s">
        <v>3</v>
      </c>
      <c r="D11" s="18">
        <v>4</v>
      </c>
      <c r="E11" s="18">
        <v>0</v>
      </c>
    </row>
    <row r="12" spans="1:5" x14ac:dyDescent="0.25">
      <c r="A12" s="16" t="s">
        <v>337</v>
      </c>
      <c r="B12" t="str">
        <f t="shared" si="0"/>
        <v>Espiga para Cruceta de Madera, L=6" Rosca 1", Φ = 3/4"</v>
      </c>
      <c r="C12" s="18" t="s">
        <v>3</v>
      </c>
      <c r="D12" s="18">
        <v>0</v>
      </c>
      <c r="E12" s="18">
        <v>4</v>
      </c>
    </row>
    <row r="13" spans="1:5" x14ac:dyDescent="0.25">
      <c r="A13" s="16" t="s">
        <v>338</v>
      </c>
      <c r="B13" t="str">
        <f t="shared" si="0"/>
        <v>Espiga para Cruceta de Madera, L=8" Rosca 1-3/8", Φ = 3/4"</v>
      </c>
      <c r="C13" s="18" t="s">
        <v>3</v>
      </c>
      <c r="D13" s="18">
        <v>4</v>
      </c>
      <c r="E13" s="18">
        <v>0</v>
      </c>
    </row>
    <row r="14" spans="1:5" x14ac:dyDescent="0.25">
      <c r="A14" s="16" t="s">
        <v>423</v>
      </c>
      <c r="B14" t="str">
        <f t="shared" si="0"/>
        <v>Pletina Espaciadora para Crucete Madera 1/2" x 4" x 24"</v>
      </c>
      <c r="C14" s="18" t="s">
        <v>3</v>
      </c>
      <c r="D14" s="18">
        <v>3</v>
      </c>
      <c r="E14" s="18">
        <v>3</v>
      </c>
    </row>
    <row r="15" spans="1:5" x14ac:dyDescent="0.25">
      <c r="A15" s="16" t="s">
        <v>419</v>
      </c>
      <c r="B15" t="str">
        <f t="shared" si="0"/>
        <v>Perno de Rosca Corrida 5/8" x 20"</v>
      </c>
      <c r="C15" s="18" t="s">
        <v>3</v>
      </c>
      <c r="D15" s="18">
        <v>3</v>
      </c>
      <c r="E15" s="18">
        <v>3</v>
      </c>
    </row>
    <row r="16" spans="1:5" x14ac:dyDescent="0.25">
      <c r="A16" s="16" t="s">
        <v>335</v>
      </c>
      <c r="B16" t="str">
        <f t="shared" si="0"/>
        <v>Grapa Terminal tipo Recto para Conductor (1/0 - 4/0)</v>
      </c>
      <c r="C16" s="18" t="s">
        <v>3</v>
      </c>
      <c r="D16" s="18">
        <v>1</v>
      </c>
      <c r="E16" s="18">
        <v>1</v>
      </c>
    </row>
    <row r="17" spans="1:5" x14ac:dyDescent="0.25">
      <c r="A17" t="s">
        <v>4</v>
      </c>
      <c r="B17" t="str">
        <f t="shared" si="0"/>
        <v>Aislador de Espiga ANSI C 56-3</v>
      </c>
      <c r="C17" s="14" t="s">
        <v>3</v>
      </c>
      <c r="D17" s="14">
        <v>4</v>
      </c>
      <c r="E17" s="14">
        <v>0</v>
      </c>
    </row>
    <row r="18" spans="1:5" x14ac:dyDescent="0.25">
      <c r="A18" t="s">
        <v>336</v>
      </c>
      <c r="B18" t="str">
        <f t="shared" si="0"/>
        <v>Aislador de Espiga ANSI C 55-4</v>
      </c>
      <c r="C18" s="14" t="s">
        <v>3</v>
      </c>
      <c r="D18" s="14">
        <v>0</v>
      </c>
      <c r="E18" s="14">
        <v>4</v>
      </c>
    </row>
    <row r="19" spans="1:5" x14ac:dyDescent="0.25">
      <c r="A19" t="s">
        <v>334</v>
      </c>
      <c r="B19" t="str">
        <f t="shared" si="0"/>
        <v>Perno de Rosca Corrida 5/8" x 12"</v>
      </c>
      <c r="C19" s="14" t="s">
        <v>3</v>
      </c>
      <c r="D19" s="14">
        <v>1</v>
      </c>
      <c r="E19" s="14">
        <v>1</v>
      </c>
    </row>
    <row r="20" spans="1:5" x14ac:dyDescent="0.25">
      <c r="A20" t="s">
        <v>389</v>
      </c>
      <c r="B20" t="str">
        <f t="shared" si="0"/>
        <v>Conector de Compresión YC 25A25 (1/0-1/0)</v>
      </c>
      <c r="C20" s="14" t="s">
        <v>3</v>
      </c>
      <c r="D20" s="14">
        <v>1</v>
      </c>
      <c r="E20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AA0B17-4BDF-4C61-9589-D14A1DAC580F}">
          <x14:formula1>
            <xm:f>Materiales!$B$2:$B$259</xm:f>
          </x14:formula1>
          <xm:sqref>A2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FE92-53BE-4BCB-BA9A-861B7A18CC78}">
  <sheetPr codeName="Hoja60"/>
  <dimension ref="A1:E21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22</v>
      </c>
      <c r="E2" s="18">
        <v>22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1174</v>
      </c>
      <c r="B7" t="str">
        <f t="shared" si="0"/>
        <v>Perno de Máquina de 1/2" x 10"</v>
      </c>
      <c r="C7" s="18" t="s">
        <v>3</v>
      </c>
      <c r="D7" s="18">
        <v>4</v>
      </c>
      <c r="E7" s="18">
        <v>4</v>
      </c>
    </row>
    <row r="8" spans="1:5" x14ac:dyDescent="0.25">
      <c r="A8" s="16" t="s">
        <v>333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1227</v>
      </c>
      <c r="D9" s="18">
        <v>20</v>
      </c>
      <c r="E9" s="18">
        <v>20</v>
      </c>
    </row>
    <row r="10" spans="1:5" x14ac:dyDescent="0.25">
      <c r="A10" t="s">
        <v>441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25">
      <c r="A11" s="16" t="s">
        <v>340</v>
      </c>
      <c r="B11" t="str">
        <f t="shared" si="0"/>
        <v>Perno de Máquina de 5/8" x 8"</v>
      </c>
      <c r="C11" s="18" t="s">
        <v>3</v>
      </c>
      <c r="D11" s="18">
        <v>6</v>
      </c>
      <c r="E11" s="18">
        <v>0</v>
      </c>
    </row>
    <row r="12" spans="1:5" x14ac:dyDescent="0.25">
      <c r="A12" s="16" t="s">
        <v>341</v>
      </c>
      <c r="B12" t="str">
        <f t="shared" si="0"/>
        <v>Puntal Angular de 60", 1-3/4" x 1-3/4" x 3/16"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337</v>
      </c>
      <c r="B13" t="str">
        <f t="shared" si="0"/>
        <v>Espiga para Cruceta de Madera, L=6" Rosca 1", Φ = 3/4"</v>
      </c>
      <c r="C13" s="18" t="s">
        <v>3</v>
      </c>
      <c r="D13" s="18">
        <v>0</v>
      </c>
      <c r="E13" s="18">
        <v>4</v>
      </c>
    </row>
    <row r="14" spans="1:5" x14ac:dyDescent="0.25">
      <c r="A14" s="16" t="s">
        <v>338</v>
      </c>
      <c r="B14" t="str">
        <f t="shared" si="0"/>
        <v>Espiga para Cruceta de Madera, L=8" Rosca 1-3/8", Φ = 3/4"</v>
      </c>
      <c r="C14" s="18" t="s">
        <v>3</v>
      </c>
      <c r="D14" s="18">
        <v>4</v>
      </c>
      <c r="E14" s="18">
        <v>0</v>
      </c>
    </row>
    <row r="15" spans="1:5" x14ac:dyDescent="0.25">
      <c r="A15" s="16" t="s">
        <v>339</v>
      </c>
      <c r="B15" t="str">
        <f t="shared" si="0"/>
        <v>Crucete de Madera Curada de 4" x 5" x 96" /Voladizo</v>
      </c>
      <c r="C15" s="18" t="s">
        <v>3</v>
      </c>
      <c r="D15" s="18">
        <v>2</v>
      </c>
      <c r="E15" s="18">
        <v>2</v>
      </c>
    </row>
    <row r="16" spans="1:5" x14ac:dyDescent="0.25">
      <c r="A16" s="16" t="s">
        <v>423</v>
      </c>
      <c r="B16" t="str">
        <f t="shared" si="0"/>
        <v>Pletina Espaciadora para Crucete Madera 1/2" x 4" x 24"</v>
      </c>
      <c r="C16" s="18" t="s">
        <v>3</v>
      </c>
      <c r="D16" s="18">
        <v>6</v>
      </c>
      <c r="E16" s="18">
        <v>6</v>
      </c>
    </row>
    <row r="17" spans="1:5" x14ac:dyDescent="0.25">
      <c r="A17" t="s">
        <v>419</v>
      </c>
      <c r="B17" t="str">
        <f t="shared" si="0"/>
        <v>Perno de Rosca Corrida 5/8" x 20"</v>
      </c>
      <c r="C17" s="14" t="s">
        <v>3</v>
      </c>
      <c r="D17" s="14">
        <v>6</v>
      </c>
      <c r="E17" s="14">
        <v>6</v>
      </c>
    </row>
    <row r="18" spans="1:5" x14ac:dyDescent="0.25">
      <c r="A18" t="s">
        <v>335</v>
      </c>
      <c r="B18" t="str">
        <f t="shared" si="0"/>
        <v>Grapa Terminal tipo Recto para Conductor (1/0 - 4/0)</v>
      </c>
      <c r="C18" s="14" t="s">
        <v>3</v>
      </c>
      <c r="D18" s="14">
        <v>2</v>
      </c>
      <c r="E18" s="14">
        <v>2</v>
      </c>
    </row>
    <row r="19" spans="1:5" x14ac:dyDescent="0.25">
      <c r="A19" t="s">
        <v>4</v>
      </c>
      <c r="B19" t="str">
        <f t="shared" si="0"/>
        <v>Aislador de Espiga ANSI C 56-3</v>
      </c>
      <c r="C19" s="14" t="s">
        <v>3</v>
      </c>
      <c r="D19" s="14">
        <v>4</v>
      </c>
      <c r="E19" s="14">
        <v>0</v>
      </c>
    </row>
    <row r="20" spans="1:5" x14ac:dyDescent="0.25">
      <c r="A20" t="s">
        <v>336</v>
      </c>
      <c r="B20" t="str">
        <f t="shared" si="0"/>
        <v>Aislador de Espiga ANSI C 55-4</v>
      </c>
      <c r="C20" s="14" t="s">
        <v>3</v>
      </c>
      <c r="D20" s="14">
        <v>0</v>
      </c>
      <c r="E20" s="14">
        <v>4</v>
      </c>
    </row>
    <row r="21" spans="1:5" x14ac:dyDescent="0.25">
      <c r="A21" t="s">
        <v>389</v>
      </c>
      <c r="B21" t="str">
        <f t="shared" si="0"/>
        <v>Conector de Compresión YC 25A25 (1/0-1/0)</v>
      </c>
      <c r="C21" s="14" t="s">
        <v>3</v>
      </c>
      <c r="D21" s="14">
        <v>2</v>
      </c>
      <c r="E21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517441-F58E-4945-8C9E-DB327AC0FFF2}">
          <x14:formula1>
            <xm:f>Materiales!$B$2:$B$259</xm:f>
          </x14:formula1>
          <xm:sqref>A2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B0F0-7DAE-4D21-B2C9-F37D9EFEC25A}">
  <sheetPr codeName="Hoja61"/>
  <dimension ref="A1:E19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25">
      <c r="A4" s="16" t="s">
        <v>1174</v>
      </c>
      <c r="B4" t="str">
        <f t="shared" si="0"/>
        <v>Perno de Máquina de 1/2" x 10"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333</v>
      </c>
      <c r="B5" t="str">
        <f t="shared" si="0"/>
        <v>Tuerca de Ojo de 5/8"</v>
      </c>
      <c r="C5" s="18" t="s">
        <v>3</v>
      </c>
      <c r="D5" s="18">
        <v>1</v>
      </c>
      <c r="E5" s="18">
        <v>1</v>
      </c>
    </row>
    <row r="6" spans="1:5" x14ac:dyDescent="0.25">
      <c r="A6" s="16" t="s">
        <v>5</v>
      </c>
      <c r="B6" t="str">
        <f t="shared" si="0"/>
        <v>Alambre de Amarre N° 6</v>
      </c>
      <c r="C6" s="18" t="s">
        <v>1227</v>
      </c>
      <c r="D6" s="18">
        <v>20</v>
      </c>
      <c r="E6" s="18">
        <v>20</v>
      </c>
    </row>
    <row r="7" spans="1:5" x14ac:dyDescent="0.25">
      <c r="A7" t="s">
        <v>441</v>
      </c>
      <c r="B7" t="str">
        <f t="shared" si="0"/>
        <v>Varilla de Armar Preformado para Cable ASCR # 1/0 AWG</v>
      </c>
      <c r="C7" s="14" t="s">
        <v>3</v>
      </c>
      <c r="D7" s="14">
        <v>2</v>
      </c>
      <c r="E7" s="14">
        <v>2</v>
      </c>
    </row>
    <row r="8" spans="1:5" x14ac:dyDescent="0.25">
      <c r="A8" s="16" t="s">
        <v>340</v>
      </c>
      <c r="B8" t="str">
        <f t="shared" si="0"/>
        <v>Perno de Máquina de 5/8" x 8"</v>
      </c>
      <c r="C8" s="18" t="s">
        <v>3</v>
      </c>
      <c r="D8" s="18">
        <v>6</v>
      </c>
      <c r="E8" s="18">
        <v>0</v>
      </c>
    </row>
    <row r="9" spans="1:5" x14ac:dyDescent="0.25">
      <c r="A9" s="16" t="s">
        <v>341</v>
      </c>
      <c r="B9" t="str">
        <f t="shared" si="0"/>
        <v>Puntal Angular de 60", 1-3/4" x 1-3/4" x 3/16"</v>
      </c>
      <c r="C9" s="18" t="s">
        <v>3</v>
      </c>
      <c r="D9" s="18">
        <v>2</v>
      </c>
      <c r="E9" s="18">
        <v>2</v>
      </c>
    </row>
    <row r="10" spans="1:5" x14ac:dyDescent="0.25">
      <c r="A10" s="16" t="s">
        <v>337</v>
      </c>
      <c r="B10" t="str">
        <f t="shared" si="0"/>
        <v>Espiga para Cruceta de Madera, L=6" Rosca 1", Φ = 3/4"</v>
      </c>
      <c r="C10" s="18" t="s">
        <v>3</v>
      </c>
      <c r="D10" s="18">
        <v>0</v>
      </c>
      <c r="E10" s="18">
        <v>4</v>
      </c>
    </row>
    <row r="11" spans="1:5" x14ac:dyDescent="0.25">
      <c r="A11" s="16" t="s">
        <v>338</v>
      </c>
      <c r="B11" t="str">
        <f t="shared" si="0"/>
        <v>Espiga para Cruceta de Madera, L=8" Rosca 1-3/8", Φ = 3/4"</v>
      </c>
      <c r="C11" s="18" t="s">
        <v>3</v>
      </c>
      <c r="D11" s="18">
        <v>4</v>
      </c>
      <c r="E11" s="18">
        <v>0</v>
      </c>
    </row>
    <row r="12" spans="1:5" x14ac:dyDescent="0.25">
      <c r="A12" s="16" t="s">
        <v>339</v>
      </c>
      <c r="B12" t="str">
        <f t="shared" si="0"/>
        <v>Crucete de Madera Curada de 4" x 5" x 96" /Voladizo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423</v>
      </c>
      <c r="B13" t="str">
        <f t="shared" si="0"/>
        <v>Pletina Espaciadora para Crucete Madera 1/2" x 4" x 24"</v>
      </c>
      <c r="C13" s="18" t="s">
        <v>3</v>
      </c>
      <c r="D13" s="18">
        <v>3</v>
      </c>
      <c r="E13" s="18">
        <v>3</v>
      </c>
    </row>
    <row r="14" spans="1:5" x14ac:dyDescent="0.25">
      <c r="A14" s="16" t="s">
        <v>419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25">
      <c r="A15" s="16" t="s">
        <v>335</v>
      </c>
      <c r="B15" t="str">
        <f t="shared" si="0"/>
        <v>Grapa Terminal tipo Recto para Conductor (1/0 - 4/0)</v>
      </c>
      <c r="C15" s="18" t="s">
        <v>3</v>
      </c>
      <c r="D15" s="18">
        <v>1</v>
      </c>
      <c r="E15" s="18">
        <v>1</v>
      </c>
    </row>
    <row r="16" spans="1:5" x14ac:dyDescent="0.25">
      <c r="A16" s="16" t="s">
        <v>4</v>
      </c>
      <c r="B16" t="str">
        <f t="shared" si="0"/>
        <v>Aislador de Espiga ANSI C 56-3</v>
      </c>
      <c r="C16" s="18" t="s">
        <v>3</v>
      </c>
      <c r="D16" s="18">
        <v>4</v>
      </c>
      <c r="E16" s="18">
        <v>0</v>
      </c>
    </row>
    <row r="17" spans="1:5" x14ac:dyDescent="0.25">
      <c r="A17" t="s">
        <v>336</v>
      </c>
      <c r="B17" t="str">
        <f t="shared" si="0"/>
        <v>Aislador de Espiga ANSI C 55-4</v>
      </c>
      <c r="C17" s="14" t="s">
        <v>3</v>
      </c>
      <c r="D17" s="14">
        <v>0</v>
      </c>
      <c r="E17" s="14">
        <v>4</v>
      </c>
    </row>
    <row r="18" spans="1:5" x14ac:dyDescent="0.25">
      <c r="A18" t="s">
        <v>334</v>
      </c>
      <c r="B18" t="str">
        <f t="shared" si="0"/>
        <v>Perno de Rosca Corrida 5/8" x 12"</v>
      </c>
      <c r="C18" s="14" t="s">
        <v>3</v>
      </c>
      <c r="D18" s="14">
        <v>1</v>
      </c>
      <c r="E18" s="14">
        <v>1</v>
      </c>
    </row>
    <row r="19" spans="1:5" x14ac:dyDescent="0.25">
      <c r="A19" t="s">
        <v>389</v>
      </c>
      <c r="B19" t="str">
        <f t="shared" si="0"/>
        <v>Conector de Compresión YC 25A25 (1/0-1/0)</v>
      </c>
      <c r="C19" s="14" t="s">
        <v>3</v>
      </c>
      <c r="D19" s="14">
        <v>1</v>
      </c>
      <c r="E19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8B4937-D5DC-4E3B-BCF4-CDAF88FAD1D4}">
          <x14:formula1>
            <xm:f>Materiales!$B$2:$B$259</xm:f>
          </x14:formula1>
          <xm:sqref>A2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ADA8-5129-46B3-B8D1-C4FBF7E5AE93}">
  <sheetPr codeName="Hoja62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4" si="0">VLOOKUP(A2,tmat,2,FALSE)</f>
        <v>Arandela Cuadrada 3/16" x 2-1/4" x 2-1/4", Ø=11/16"</v>
      </c>
      <c r="C2" s="18" t="s">
        <v>3</v>
      </c>
      <c r="D2" s="18">
        <v>8</v>
      </c>
      <c r="E2" s="18">
        <v>8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25">
      <c r="A4" s="16" t="s">
        <v>5</v>
      </c>
      <c r="B4" t="str">
        <f t="shared" si="0"/>
        <v>Alambre de Amarre N° 6</v>
      </c>
      <c r="C4" s="18" t="s">
        <v>1227</v>
      </c>
      <c r="D4" s="18">
        <v>10</v>
      </c>
      <c r="E4" s="18">
        <v>10</v>
      </c>
    </row>
    <row r="5" spans="1:5" x14ac:dyDescent="0.25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25">
      <c r="A6" s="16" t="s">
        <v>336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25">
      <c r="A7" s="16" t="s">
        <v>340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341</v>
      </c>
      <c r="B8" t="str">
        <f t="shared" si="0"/>
        <v>Puntal Angular de 60", 1-3/4" x 1-3/4" x 3/16"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339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25">
      <c r="A10" s="16" t="s">
        <v>1174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333</v>
      </c>
      <c r="B11" t="str">
        <f t="shared" si="0"/>
        <v>Tuerca de Ojo de 5/8"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389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419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335</v>
      </c>
      <c r="B14" t="str">
        <f t="shared" si="0"/>
        <v>Grapa Terminal tipo Recto para Conductor (1/0 - 4/0)</v>
      </c>
      <c r="C14" s="18" t="s">
        <v>3</v>
      </c>
      <c r="D14" s="18">
        <v>2</v>
      </c>
      <c r="E14" s="18">
        <v>2</v>
      </c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0DC6F5-2BEE-4E07-9EB6-B3D51445E681}">
          <x14:formula1>
            <xm:f>Materiales!$B$2:$B$259</xm:f>
          </x14:formula1>
          <xm:sqref>A2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844D-9AFD-413A-BA1D-8F4E7E4D0BF3}">
  <sheetPr codeName="Hoja63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4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8</v>
      </c>
      <c r="E3" s="18">
        <v>6</v>
      </c>
    </row>
    <row r="4" spans="1:5" x14ac:dyDescent="0.25">
      <c r="A4" s="16" t="s">
        <v>5</v>
      </c>
      <c r="B4" t="str">
        <f t="shared" si="0"/>
        <v>Alambre de Amarre N° 6</v>
      </c>
      <c r="C4" s="18" t="s">
        <v>1227</v>
      </c>
      <c r="D4" s="18">
        <v>10</v>
      </c>
      <c r="E4" s="18">
        <v>10</v>
      </c>
    </row>
    <row r="5" spans="1:5" x14ac:dyDescent="0.25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25">
      <c r="A6" s="16" t="s">
        <v>336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25">
      <c r="A7" s="16" t="s">
        <v>340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341</v>
      </c>
      <c r="B8" t="str">
        <f t="shared" si="0"/>
        <v>Puntal Angular de 60", 1-3/4" x 1-3/4" x 3/16"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339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25">
      <c r="A10" s="16" t="s">
        <v>1174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333</v>
      </c>
      <c r="B11" t="str">
        <f t="shared" si="0"/>
        <v>Tuerca de Ojo de 5/8"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389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419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335</v>
      </c>
      <c r="B14" t="str">
        <f t="shared" si="0"/>
        <v>Grapa Terminal tipo Recto para Conductor (1/0 - 4/0)</v>
      </c>
      <c r="C14" s="18" t="s">
        <v>3</v>
      </c>
      <c r="D14" s="18">
        <v>2</v>
      </c>
      <c r="E14" s="18">
        <v>2</v>
      </c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943803-7BDE-4D4D-B582-E419DFF6D92D}">
          <x14:formula1>
            <xm:f>Materiales!$B$2:$B$259</xm:f>
          </x14:formula1>
          <xm:sqref>A2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3D8F-6A54-4683-BB66-6AE367302015}">
  <sheetPr codeName="Hoja64"/>
  <dimension ref="A1:E17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7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18</v>
      </c>
      <c r="E3" s="18">
        <v>12</v>
      </c>
    </row>
    <row r="4" spans="1:5" x14ac:dyDescent="0.25">
      <c r="A4" s="16" t="s">
        <v>5</v>
      </c>
      <c r="B4" t="str">
        <f t="shared" si="0"/>
        <v>Alambre de Amarre N° 6</v>
      </c>
      <c r="C4" s="18" t="s">
        <v>1227</v>
      </c>
      <c r="D4" s="18">
        <v>10</v>
      </c>
      <c r="E4" s="18">
        <v>10</v>
      </c>
    </row>
    <row r="5" spans="1:5" x14ac:dyDescent="0.25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25">
      <c r="A6" s="16" t="s">
        <v>336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25">
      <c r="A7" s="16" t="s">
        <v>340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341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339</v>
      </c>
      <c r="B9" t="str">
        <f t="shared" si="0"/>
        <v>Crucete de Madera Curada de 4" x 5" x 96" /Voladizo</v>
      </c>
      <c r="C9" s="18" t="s">
        <v>3</v>
      </c>
      <c r="D9" s="18">
        <v>2</v>
      </c>
      <c r="E9" s="18">
        <v>2</v>
      </c>
    </row>
    <row r="10" spans="1:5" x14ac:dyDescent="0.25">
      <c r="A10" s="16" t="s">
        <v>1174</v>
      </c>
      <c r="B10" t="str">
        <f t="shared" si="0"/>
        <v>Perno de Máquina de 1/2" x 10"</v>
      </c>
      <c r="C10" s="18" t="s">
        <v>3</v>
      </c>
      <c r="D10" s="18">
        <v>4</v>
      </c>
      <c r="E10" s="18">
        <v>4</v>
      </c>
    </row>
    <row r="11" spans="1:5" x14ac:dyDescent="0.25">
      <c r="A11" s="16" t="s">
        <v>333</v>
      </c>
      <c r="B11" t="str">
        <f t="shared" si="0"/>
        <v>Tuerca de Ojo de 5/8"</v>
      </c>
      <c r="C11" s="18" t="s">
        <v>3</v>
      </c>
      <c r="D11" s="18">
        <v>6</v>
      </c>
      <c r="E11" s="18">
        <v>6</v>
      </c>
    </row>
    <row r="12" spans="1:5" x14ac:dyDescent="0.25">
      <c r="A12" s="16" t="s">
        <v>389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419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335</v>
      </c>
      <c r="B14" t="str">
        <f t="shared" si="0"/>
        <v>Grapa Terminal tipo Recto para Conductor (1/0 - 4/0)</v>
      </c>
      <c r="C14" s="18" t="s">
        <v>3</v>
      </c>
      <c r="D14" s="18">
        <v>6</v>
      </c>
      <c r="E14" s="18">
        <v>6</v>
      </c>
    </row>
    <row r="15" spans="1:5" x14ac:dyDescent="0.25">
      <c r="A15" s="16" t="s">
        <v>401</v>
      </c>
      <c r="B15" t="str">
        <f t="shared" si="0"/>
        <v>Crucete de Madera Curada de 4" x 5" x 96"</v>
      </c>
      <c r="C15" s="18" t="s">
        <v>3</v>
      </c>
      <c r="D15" s="18">
        <v>2</v>
      </c>
      <c r="E15" s="18">
        <v>2</v>
      </c>
    </row>
    <row r="16" spans="1:5" x14ac:dyDescent="0.25">
      <c r="A16" s="16" t="s">
        <v>347</v>
      </c>
      <c r="B16" t="str">
        <f t="shared" si="0"/>
        <v>Tirante de Pletina de 1/4" x 1-1/4" x 30"</v>
      </c>
      <c r="C16" s="18" t="s">
        <v>3</v>
      </c>
      <c r="D16" s="18">
        <v>4</v>
      </c>
      <c r="E16" s="18">
        <v>4</v>
      </c>
    </row>
    <row r="17" spans="1:5" x14ac:dyDescent="0.25">
      <c r="A17" t="s">
        <v>346</v>
      </c>
      <c r="B17" t="str">
        <f t="shared" si="0"/>
        <v>Perno de Carroceria 3/8" x 5"</v>
      </c>
      <c r="C17" s="14" t="s">
        <v>3</v>
      </c>
      <c r="D17" s="14">
        <v>2</v>
      </c>
      <c r="E17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F00672-609F-42E7-82E1-813E228C9478}">
          <x14:formula1>
            <xm:f>Materiales!$B$2:$B$259</xm:f>
          </x14:formula1>
          <xm:sqref>A2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80EF-D077-4C06-9120-F69DD2858923}">
  <sheetPr codeName="Hoja65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5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376</v>
      </c>
      <c r="B3" t="str">
        <f t="shared" si="0"/>
        <v>Aislador de Suspensión ANSI C 52-9</v>
      </c>
      <c r="C3" s="18" t="s">
        <v>3</v>
      </c>
      <c r="D3" s="18">
        <v>15</v>
      </c>
      <c r="E3" s="18">
        <v>10</v>
      </c>
    </row>
    <row r="4" spans="1:5" x14ac:dyDescent="0.25">
      <c r="A4" s="16" t="s">
        <v>5</v>
      </c>
      <c r="B4" t="str">
        <f t="shared" si="0"/>
        <v>Alambre de Amarre N° 6</v>
      </c>
      <c r="C4" s="18" t="s">
        <v>1227</v>
      </c>
      <c r="D4" s="18">
        <v>10</v>
      </c>
      <c r="E4" s="18">
        <v>10</v>
      </c>
    </row>
    <row r="5" spans="1:5" x14ac:dyDescent="0.25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25">
      <c r="A6" s="16" t="s">
        <v>336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25">
      <c r="A7" s="16" t="s">
        <v>340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341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339</v>
      </c>
      <c r="B9" t="str">
        <f t="shared" si="0"/>
        <v>Crucete de Madera Curada de 4" x 5" x 96" /Voladizo</v>
      </c>
      <c r="C9" s="18" t="s">
        <v>3</v>
      </c>
      <c r="D9" s="18">
        <v>2</v>
      </c>
      <c r="E9" s="18">
        <v>2</v>
      </c>
    </row>
    <row r="10" spans="1:5" x14ac:dyDescent="0.25">
      <c r="A10" s="16" t="s">
        <v>1174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333</v>
      </c>
      <c r="B11" t="str">
        <f t="shared" si="0"/>
        <v>Tuerca de Ojo de 5/8"</v>
      </c>
      <c r="C11" s="18" t="s">
        <v>3</v>
      </c>
      <c r="D11" s="18">
        <v>5</v>
      </c>
      <c r="E11" s="18">
        <v>5</v>
      </c>
    </row>
    <row r="12" spans="1:5" x14ac:dyDescent="0.25">
      <c r="A12" s="16" t="s">
        <v>389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419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334</v>
      </c>
      <c r="B14" t="str">
        <f t="shared" si="0"/>
        <v>Perno de Rosca Corrida 5/8" x 12"</v>
      </c>
      <c r="C14" s="18" t="s">
        <v>3</v>
      </c>
      <c r="D14" s="18">
        <v>1</v>
      </c>
      <c r="E14" s="18">
        <v>1</v>
      </c>
    </row>
    <row r="15" spans="1:5" x14ac:dyDescent="0.25">
      <c r="A15" s="16" t="s">
        <v>335</v>
      </c>
      <c r="B15" t="str">
        <f t="shared" si="0"/>
        <v>Grapa Terminal tipo Recto para Conductor (1/0 - 4/0)</v>
      </c>
      <c r="C15" s="18" t="s">
        <v>3</v>
      </c>
      <c r="D15" s="18">
        <v>5</v>
      </c>
      <c r="E15" s="18">
        <v>5</v>
      </c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648FEC-741E-43F3-99D0-D3CE142E42C5}">
          <x14:formula1>
            <xm:f>Materiales!$B$2:$B$259</xm:f>
          </x14:formula1>
          <xm:sqref>A2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C1DA-EAC5-49AF-9267-333261E2B03B}">
  <sheetPr codeName="Hoja66"/>
  <dimension ref="A1:E16"/>
  <sheetViews>
    <sheetView zoomScale="90" zoomScaleNormal="90" workbookViewId="0">
      <selection activeCell="C5" sqref="C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1227</v>
      </c>
      <c r="D4">
        <v>10</v>
      </c>
      <c r="E4">
        <v>10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4</v>
      </c>
      <c r="E5">
        <v>4</v>
      </c>
    </row>
    <row r="6" spans="1:5" x14ac:dyDescent="0.25">
      <c r="A6" t="s">
        <v>401</v>
      </c>
      <c r="B6" t="str">
        <f t="shared" si="0"/>
        <v>Crucete de Madera Curada de 4" x 5" x 96"</v>
      </c>
      <c r="C6" t="s">
        <v>3</v>
      </c>
      <c r="D6">
        <v>1</v>
      </c>
      <c r="E6">
        <v>1</v>
      </c>
    </row>
    <row r="7" spans="1:5" x14ac:dyDescent="0.25">
      <c r="A7" t="s">
        <v>337</v>
      </c>
      <c r="B7" t="str">
        <f t="shared" si="0"/>
        <v>Espiga para Cruceta de Madera, L=6" Rosca 1", Φ = 3/4"</v>
      </c>
      <c r="C7" t="s">
        <v>3</v>
      </c>
      <c r="D7" s="14">
        <v>0</v>
      </c>
      <c r="E7" s="14">
        <v>2</v>
      </c>
    </row>
    <row r="8" spans="1:5" x14ac:dyDescent="0.25">
      <c r="A8" t="s">
        <v>338</v>
      </c>
      <c r="B8" t="str">
        <f t="shared" si="0"/>
        <v>Espiga para Cruceta de Madera, L=8" Rosca 1-3/8", Φ = 3/4"</v>
      </c>
      <c r="C8" t="s">
        <v>3</v>
      </c>
      <c r="D8">
        <v>2</v>
      </c>
      <c r="E8">
        <v>0</v>
      </c>
    </row>
    <row r="9" spans="1:5" x14ac:dyDescent="0.25">
      <c r="A9" t="s">
        <v>7</v>
      </c>
      <c r="B9" t="str">
        <f t="shared" si="0"/>
        <v>Espiga Punta de Poste tipo Recta, 34.5 KV, L=20" Rosca 1-3/8"</v>
      </c>
      <c r="C9" t="s">
        <v>3</v>
      </c>
      <c r="D9">
        <v>1</v>
      </c>
      <c r="E9">
        <v>0</v>
      </c>
    </row>
    <row r="10" spans="1:5" x14ac:dyDescent="0.25">
      <c r="A10" t="s">
        <v>8</v>
      </c>
      <c r="B10" t="str">
        <f t="shared" si="0"/>
        <v>Espiga Punta de Poste tipo Recta, 13.8 KV, L=18" Rosca 1"</v>
      </c>
      <c r="C10" t="s">
        <v>3</v>
      </c>
      <c r="D10">
        <v>0</v>
      </c>
      <c r="E10">
        <v>1</v>
      </c>
    </row>
    <row r="11" spans="1:5" x14ac:dyDescent="0.25">
      <c r="A11" t="s">
        <v>346</v>
      </c>
      <c r="B11" t="str">
        <f t="shared" si="0"/>
        <v>Perno de Carroceria 3/8" x 5"</v>
      </c>
      <c r="C11" t="s">
        <v>3</v>
      </c>
      <c r="D11">
        <v>2</v>
      </c>
      <c r="E11">
        <v>2</v>
      </c>
    </row>
    <row r="12" spans="1:5" x14ac:dyDescent="0.25">
      <c r="A12" t="s">
        <v>348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25">
      <c r="A13" t="s">
        <v>9</v>
      </c>
      <c r="B13" t="str">
        <f t="shared" si="0"/>
        <v>Perno de Máquina de 5/8" x 10"</v>
      </c>
      <c r="C13" t="s">
        <v>3</v>
      </c>
      <c r="D13">
        <v>2</v>
      </c>
      <c r="E13">
        <v>2</v>
      </c>
    </row>
    <row r="14" spans="1:5" x14ac:dyDescent="0.25">
      <c r="A14" t="s">
        <v>347</v>
      </c>
      <c r="B14" t="str">
        <f t="shared" si="0"/>
        <v>Tirante de Pletina de 1/4" x 1-1/4" x 30"</v>
      </c>
      <c r="C14" t="s">
        <v>3</v>
      </c>
      <c r="D14">
        <v>2</v>
      </c>
      <c r="E14">
        <v>2</v>
      </c>
    </row>
    <row r="15" spans="1:5" x14ac:dyDescent="0.25">
      <c r="A15" t="s">
        <v>1174</v>
      </c>
      <c r="B15" t="str">
        <f t="shared" si="0"/>
        <v>Perno de Máquina de 1/2" x 10"</v>
      </c>
      <c r="C15" t="s">
        <v>3</v>
      </c>
      <c r="D15">
        <v>1</v>
      </c>
      <c r="E15">
        <v>1</v>
      </c>
    </row>
    <row r="16" spans="1:5" x14ac:dyDescent="0.25">
      <c r="A16" t="s">
        <v>441</v>
      </c>
      <c r="B16" t="str">
        <f t="shared" si="0"/>
        <v>Varilla de Armar Preformado para Cable ASCR # 1/0 AWG</v>
      </c>
      <c r="C16" t="s">
        <v>3</v>
      </c>
      <c r="D16">
        <v>3</v>
      </c>
      <c r="E16">
        <v>3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9D6536-72FA-4050-B723-EE250FFE6E78}">
          <x14:formula1>
            <xm:f>Materiales!$B$2:$B$259</xm:f>
          </x14:formula1>
          <xm:sqref>A2:A16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472E-E7E8-4563-A236-B76F7D66AD89}">
  <sheetPr codeName="Hoja67"/>
  <dimension ref="A1:E16"/>
  <sheetViews>
    <sheetView workbookViewId="0">
      <selection activeCell="A6" sqref="A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346</v>
      </c>
      <c r="B2" t="str">
        <f t="shared" ref="B2:B16" si="0">VLOOKUP(A2,tmat,2,FALSE)</f>
        <v>Perno de Carroceria 3/8" x 5"</v>
      </c>
      <c r="C2" t="s">
        <v>3</v>
      </c>
      <c r="D2">
        <v>2</v>
      </c>
      <c r="E2">
        <v>2</v>
      </c>
    </row>
    <row r="3" spans="1:5" x14ac:dyDescent="0.25">
      <c r="A3" t="s">
        <v>401</v>
      </c>
      <c r="B3" t="str">
        <f t="shared" si="0"/>
        <v>Crucete de Madera Curada de 4" x 5" x 96"</v>
      </c>
      <c r="C3" t="s">
        <v>3</v>
      </c>
      <c r="D3">
        <v>1</v>
      </c>
      <c r="E3">
        <v>1</v>
      </c>
    </row>
    <row r="4" spans="1:5" x14ac:dyDescent="0.25">
      <c r="A4" t="s">
        <v>347</v>
      </c>
      <c r="B4" t="str">
        <f t="shared" si="0"/>
        <v>Tirante de Pletina de 1/4" x 1-1/4" x 30"</v>
      </c>
      <c r="C4" t="s">
        <v>3</v>
      </c>
      <c r="D4">
        <v>2</v>
      </c>
      <c r="E4">
        <v>2</v>
      </c>
    </row>
    <row r="5" spans="1:5" x14ac:dyDescent="0.25">
      <c r="A5" t="s">
        <v>1174</v>
      </c>
      <c r="B5" t="str">
        <f t="shared" si="0"/>
        <v>Perno de Máquina de 1/2" x 10"</v>
      </c>
      <c r="C5" t="s">
        <v>3</v>
      </c>
      <c r="D5">
        <v>1</v>
      </c>
      <c r="E5">
        <v>1</v>
      </c>
    </row>
    <row r="6" spans="1:5" x14ac:dyDescent="0.25">
      <c r="A6" t="s">
        <v>5</v>
      </c>
      <c r="B6" t="str">
        <f t="shared" si="0"/>
        <v>Alambre de Amarre N° 6</v>
      </c>
      <c r="C6" t="s">
        <v>1227</v>
      </c>
      <c r="D6">
        <v>4</v>
      </c>
      <c r="E6">
        <v>4</v>
      </c>
    </row>
    <row r="7" spans="1:5" x14ac:dyDescent="0.25">
      <c r="A7" t="s">
        <v>4</v>
      </c>
      <c r="B7" t="str">
        <f t="shared" si="0"/>
        <v>Aislador de Espiga ANSI C 56-3</v>
      </c>
      <c r="C7" t="s">
        <v>3</v>
      </c>
      <c r="D7">
        <v>3</v>
      </c>
      <c r="E7">
        <v>3</v>
      </c>
    </row>
    <row r="8" spans="1:5" x14ac:dyDescent="0.25">
      <c r="A8" t="s">
        <v>336</v>
      </c>
      <c r="B8" t="str">
        <f t="shared" si="0"/>
        <v>Aislador de Espiga ANSI C 55-4</v>
      </c>
      <c r="C8" t="s">
        <v>3</v>
      </c>
      <c r="D8">
        <v>1</v>
      </c>
      <c r="E8">
        <v>1</v>
      </c>
    </row>
    <row r="9" spans="1:5" x14ac:dyDescent="0.25">
      <c r="A9" t="s">
        <v>441</v>
      </c>
      <c r="B9" t="str">
        <f t="shared" si="0"/>
        <v>Varilla de Armar Preformado para Cable ASCR # 1/0 AWG</v>
      </c>
      <c r="C9" s="14" t="s">
        <v>3</v>
      </c>
      <c r="D9" s="14">
        <v>4</v>
      </c>
      <c r="E9" s="14">
        <v>4</v>
      </c>
    </row>
    <row r="10" spans="1:5" x14ac:dyDescent="0.25">
      <c r="A10" t="s">
        <v>6</v>
      </c>
      <c r="B10" t="str">
        <f t="shared" si="0"/>
        <v>Arandela Cuadrada 3/16" x 2-1/4" x 2-1/4", Ø=11/16"</v>
      </c>
      <c r="C10" t="s">
        <v>3</v>
      </c>
      <c r="D10">
        <v>4</v>
      </c>
      <c r="E10">
        <v>4</v>
      </c>
    </row>
    <row r="11" spans="1:5" x14ac:dyDescent="0.25">
      <c r="A11" t="s">
        <v>337</v>
      </c>
      <c r="B11" t="str">
        <f t="shared" si="0"/>
        <v>Espiga para Cruceta de Madera, L=6" Rosca 1", Φ = 3/4"</v>
      </c>
      <c r="C11" t="s">
        <v>3</v>
      </c>
      <c r="D11">
        <v>2</v>
      </c>
      <c r="E11">
        <v>2</v>
      </c>
    </row>
    <row r="12" spans="1:5" x14ac:dyDescent="0.25">
      <c r="A12" t="s">
        <v>338</v>
      </c>
      <c r="B12" t="str">
        <f t="shared" si="0"/>
        <v>Espiga para Cruceta de Madera, L=8" Rosca 1-3/8", Φ = 3/4"</v>
      </c>
      <c r="C12" t="s">
        <v>3</v>
      </c>
      <c r="D12">
        <v>3</v>
      </c>
      <c r="E12">
        <v>3</v>
      </c>
    </row>
    <row r="13" spans="1:5" x14ac:dyDescent="0.25">
      <c r="A13" t="s">
        <v>348</v>
      </c>
      <c r="B13" t="str">
        <f t="shared" si="0"/>
        <v>Perno de Máquina de 5/8" x 14"</v>
      </c>
      <c r="C13" t="s">
        <v>3</v>
      </c>
      <c r="D13">
        <v>1</v>
      </c>
      <c r="E13">
        <v>1</v>
      </c>
    </row>
    <row r="14" spans="1:5" x14ac:dyDescent="0.25">
      <c r="A14" t="s">
        <v>7</v>
      </c>
      <c r="B14" t="str">
        <f t="shared" si="0"/>
        <v>Espiga Punta de Poste tipo Recta, 34.5 KV, L=20" Rosca 1-3/8"</v>
      </c>
      <c r="C14" t="s">
        <v>3</v>
      </c>
      <c r="D14">
        <v>1</v>
      </c>
      <c r="E14">
        <v>0</v>
      </c>
    </row>
    <row r="15" spans="1:5" x14ac:dyDescent="0.25">
      <c r="A15" t="s">
        <v>8</v>
      </c>
      <c r="B15" t="str">
        <f t="shared" si="0"/>
        <v>Espiga Punta de Poste tipo Recta, 13.8 KV, L=18" Rosca 1"</v>
      </c>
      <c r="C15" t="s">
        <v>3</v>
      </c>
      <c r="D15">
        <v>0</v>
      </c>
      <c r="E15">
        <v>1</v>
      </c>
    </row>
    <row r="16" spans="1:5" x14ac:dyDescent="0.25">
      <c r="A16" t="s">
        <v>9</v>
      </c>
      <c r="B16" t="str">
        <f t="shared" si="0"/>
        <v>Perno de Máquina de 5/8" x 10"</v>
      </c>
      <c r="C16" t="s">
        <v>3</v>
      </c>
      <c r="D16">
        <v>2</v>
      </c>
      <c r="E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C8BAB9-11C8-460A-8BDF-BA6AC09E9214}">
          <x14:formula1>
            <xm:f>Materiales!$B$2:$B$259</xm:f>
          </x14:formula1>
          <xm:sqref>A2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0F7E-2353-4BD6-9B87-56B773BD7BD7}">
  <sheetPr codeName="Hoja68"/>
  <dimension ref="A1:E13"/>
  <sheetViews>
    <sheetView workbookViewId="0">
      <selection sqref="A1:E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t="s">
        <v>3</v>
      </c>
      <c r="D2">
        <v>3</v>
      </c>
      <c r="E2">
        <v>3</v>
      </c>
    </row>
    <row r="3" spans="1:5" x14ac:dyDescent="0.25">
      <c r="A3" t="s">
        <v>5</v>
      </c>
      <c r="B3" t="str">
        <f t="shared" si="0"/>
        <v>Alambre de Amarre N° 6</v>
      </c>
      <c r="C3" t="s">
        <v>1227</v>
      </c>
      <c r="D3">
        <v>30</v>
      </c>
      <c r="E3">
        <v>30</v>
      </c>
    </row>
    <row r="4" spans="1:5" x14ac:dyDescent="0.25">
      <c r="A4" t="s">
        <v>4</v>
      </c>
      <c r="B4" t="str">
        <f t="shared" si="0"/>
        <v>Aislador de Espiga ANSI C 56-3</v>
      </c>
      <c r="C4" t="s">
        <v>3</v>
      </c>
      <c r="D4">
        <v>3</v>
      </c>
      <c r="E4">
        <v>0</v>
      </c>
    </row>
    <row r="5" spans="1:5" x14ac:dyDescent="0.25">
      <c r="A5" t="s">
        <v>336</v>
      </c>
      <c r="B5" t="str">
        <f t="shared" si="0"/>
        <v>Aislador de Espiga ANSI C 55-4</v>
      </c>
      <c r="C5" t="s">
        <v>3</v>
      </c>
      <c r="D5">
        <v>0</v>
      </c>
      <c r="E5">
        <v>3</v>
      </c>
    </row>
    <row r="6" spans="1:5" x14ac:dyDescent="0.25">
      <c r="A6" t="s">
        <v>441</v>
      </c>
      <c r="B6" t="str">
        <f t="shared" si="0"/>
        <v>Varilla de Armar Preformado para Cable ASCR # 1/0 AWG</v>
      </c>
      <c r="C6" s="14" t="s">
        <v>3</v>
      </c>
      <c r="D6" s="14">
        <v>3</v>
      </c>
      <c r="E6" s="14">
        <v>3</v>
      </c>
    </row>
    <row r="7" spans="1:5" x14ac:dyDescent="0.25">
      <c r="A7" t="s">
        <v>340</v>
      </c>
      <c r="B7" t="str">
        <f t="shared" si="0"/>
        <v>Perno de Máquina de 5/8" x 8"</v>
      </c>
      <c r="C7" t="s">
        <v>3</v>
      </c>
      <c r="D7">
        <v>1</v>
      </c>
      <c r="E7">
        <v>1</v>
      </c>
    </row>
    <row r="8" spans="1:5" x14ac:dyDescent="0.25">
      <c r="A8" t="s">
        <v>348</v>
      </c>
      <c r="B8" t="str">
        <f t="shared" si="0"/>
        <v>Perno de Máquina de 5/8" x 14"</v>
      </c>
      <c r="C8" t="s">
        <v>3</v>
      </c>
      <c r="D8">
        <v>1</v>
      </c>
      <c r="E8">
        <v>1</v>
      </c>
    </row>
    <row r="9" spans="1:5" x14ac:dyDescent="0.25">
      <c r="A9" t="s">
        <v>339</v>
      </c>
      <c r="B9" t="str">
        <f t="shared" si="0"/>
        <v>Crucete de Madera Curada de 4" x 5" x 96" /Voladizo</v>
      </c>
      <c r="C9" t="s">
        <v>3</v>
      </c>
      <c r="D9">
        <v>1</v>
      </c>
      <c r="E9">
        <v>1</v>
      </c>
    </row>
    <row r="10" spans="1:5" x14ac:dyDescent="0.25">
      <c r="A10" t="s">
        <v>341</v>
      </c>
      <c r="B10" t="str">
        <f t="shared" si="0"/>
        <v>Puntal Angular de 60", 1-3/4" x 1-3/4" x 3/16"</v>
      </c>
      <c r="C10" t="s">
        <v>3</v>
      </c>
      <c r="D10">
        <v>1</v>
      </c>
      <c r="E10">
        <v>1</v>
      </c>
    </row>
    <row r="11" spans="1:5" x14ac:dyDescent="0.25">
      <c r="A11" t="s">
        <v>1174</v>
      </c>
      <c r="B11" t="str">
        <f t="shared" si="0"/>
        <v>Perno de Máquina de 1/2" x 10"</v>
      </c>
      <c r="C11" t="s">
        <v>3</v>
      </c>
      <c r="D11">
        <v>1</v>
      </c>
      <c r="E11">
        <v>1</v>
      </c>
    </row>
    <row r="12" spans="1:5" x14ac:dyDescent="0.25">
      <c r="A12" t="s">
        <v>337</v>
      </c>
      <c r="B12" t="str">
        <f t="shared" si="0"/>
        <v>Espiga para Cruceta de Madera, L=6" Rosca 1", Φ = 3/4"</v>
      </c>
      <c r="C12" t="s">
        <v>3</v>
      </c>
      <c r="D12">
        <v>3</v>
      </c>
      <c r="E12">
        <v>0</v>
      </c>
    </row>
    <row r="13" spans="1:5" x14ac:dyDescent="0.25">
      <c r="A13" t="s">
        <v>338</v>
      </c>
      <c r="B13" t="str">
        <f t="shared" si="0"/>
        <v>Espiga para Cruceta de Madera, L=8" Rosca 1-3/8", Φ = 3/4"</v>
      </c>
      <c r="C13" t="s">
        <v>3</v>
      </c>
      <c r="D13">
        <v>0</v>
      </c>
      <c r="E13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A327F1-EDEA-4B38-89FA-DC9F3BC1F877}">
          <x14:formula1>
            <xm:f>Materiales!$B$2:$B$259</xm:f>
          </x14:formula1>
          <xm:sqref>A2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24B4-FCEB-4D04-B1EE-DF93E799854D}">
  <sheetPr codeName="Hoja69"/>
  <dimension ref="A1:E16"/>
  <sheetViews>
    <sheetView workbookViewId="0">
      <selection activeCell="B7" sqref="B7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25">
      <c r="A3" s="16" t="s">
        <v>340</v>
      </c>
      <c r="B3" t="str">
        <f t="shared" si="0"/>
        <v>Perno de Máquina de 5/8" x 8"</v>
      </c>
      <c r="C3" s="18" t="s">
        <v>3</v>
      </c>
      <c r="D3" s="18">
        <v>8</v>
      </c>
      <c r="E3" s="18">
        <v>8</v>
      </c>
    </row>
    <row r="4" spans="1:5" x14ac:dyDescent="0.25">
      <c r="A4" s="16" t="s">
        <v>341</v>
      </c>
      <c r="B4" t="str">
        <f t="shared" si="0"/>
        <v>Puntal Angular de 60", 1-3/4" x 1-3/4" x 3/16"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337</v>
      </c>
      <c r="B5" t="str">
        <f t="shared" si="0"/>
        <v>Espiga para Cruceta de Madera, L=6" Rosca 1", Φ = 3/4"</v>
      </c>
      <c r="C5" s="18" t="s">
        <v>3</v>
      </c>
      <c r="D5" s="18">
        <v>0</v>
      </c>
      <c r="E5" s="18">
        <v>6</v>
      </c>
    </row>
    <row r="6" spans="1:5" x14ac:dyDescent="0.25">
      <c r="A6" s="16" t="s">
        <v>338</v>
      </c>
      <c r="B6" t="str">
        <f t="shared" si="0"/>
        <v>Espiga para Cruceta de Madera, L=8" Rosca 1-3/8", Φ = 3/4"</v>
      </c>
      <c r="C6" s="18" t="s">
        <v>3</v>
      </c>
      <c r="D6" s="18">
        <v>6</v>
      </c>
      <c r="E6" s="18">
        <v>0</v>
      </c>
    </row>
    <row r="7" spans="1:5" x14ac:dyDescent="0.25">
      <c r="A7" s="16" t="s">
        <v>339</v>
      </c>
      <c r="B7" t="str">
        <f t="shared" si="0"/>
        <v>Crucete de Madera Curada de 4" x 5" x 96" /Voladizo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1174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419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25">
      <c r="A10" s="16" t="s">
        <v>5</v>
      </c>
      <c r="B10" t="str">
        <f t="shared" si="0"/>
        <v>Alambre de Amarre N° 6</v>
      </c>
      <c r="C10" s="18" t="s">
        <v>1227</v>
      </c>
      <c r="D10" s="18">
        <v>10</v>
      </c>
      <c r="E10" s="18">
        <v>10</v>
      </c>
    </row>
    <row r="11" spans="1:5" x14ac:dyDescent="0.25">
      <c r="A11" s="16" t="s">
        <v>4</v>
      </c>
      <c r="B11" t="str">
        <f t="shared" si="0"/>
        <v>Aislador de Espiga ANSI C 56-3</v>
      </c>
      <c r="C11" s="18" t="s">
        <v>3</v>
      </c>
      <c r="D11" s="18">
        <v>6</v>
      </c>
      <c r="E11" s="18">
        <v>0</v>
      </c>
    </row>
    <row r="12" spans="1:5" x14ac:dyDescent="0.25">
      <c r="A12" s="16" t="s">
        <v>336</v>
      </c>
      <c r="B12" t="str">
        <f t="shared" si="0"/>
        <v>Aislador de Espiga ANSI C 55-4</v>
      </c>
      <c r="C12" s="18" t="s">
        <v>3</v>
      </c>
      <c r="D12" s="18">
        <v>0</v>
      </c>
      <c r="E12" s="18">
        <v>6</v>
      </c>
    </row>
    <row r="13" spans="1:5" x14ac:dyDescent="0.25">
      <c r="A13" t="s">
        <v>441</v>
      </c>
      <c r="B13" t="str">
        <f t="shared" si="0"/>
        <v>Varilla de Armar Preformado para Cable ASCR # 1/0 AWG</v>
      </c>
      <c r="C13" s="14" t="s">
        <v>3</v>
      </c>
      <c r="D13" s="14">
        <v>3</v>
      </c>
      <c r="E13" s="14">
        <v>3</v>
      </c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7F9702-35EE-4FF5-9E0B-0A99DD701F92}">
          <x14:formula1>
            <xm:f>Materiales!$B$2:$B$259</xm:f>
          </x14:formula1>
          <xm:sqref>A2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5F20-19C4-4635-9004-4EDFE1F3B756}">
  <sheetPr codeName="Hoja70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8</v>
      </c>
      <c r="E2" s="18">
        <v>8</v>
      </c>
    </row>
    <row r="3" spans="1:5" x14ac:dyDescent="0.25">
      <c r="A3" s="16" t="s">
        <v>340</v>
      </c>
      <c r="B3" t="str">
        <f t="shared" si="0"/>
        <v>Perno de Máquina de 5/8" x 8"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341</v>
      </c>
      <c r="B4" t="str">
        <f t="shared" si="0"/>
        <v>Puntal Angular de 60", 1-3/4" x 1-3/4" x 3/16"</v>
      </c>
      <c r="C4" s="18" t="s">
        <v>3</v>
      </c>
      <c r="D4" s="18">
        <v>1</v>
      </c>
      <c r="E4" s="18">
        <v>1</v>
      </c>
    </row>
    <row r="5" spans="1:5" x14ac:dyDescent="0.25">
      <c r="A5" s="16" t="s">
        <v>337</v>
      </c>
      <c r="B5" t="str">
        <f t="shared" si="0"/>
        <v>Espiga para Cruceta de Madera, L=6" Rosca 1", Φ = 3/4"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338</v>
      </c>
      <c r="B6" t="str">
        <f t="shared" si="0"/>
        <v>Espiga para Cruceta de Madera, L=8" Rosca 1-3/8", Φ = 3/4"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339</v>
      </c>
      <c r="B7" t="str">
        <f t="shared" si="0"/>
        <v>Crucete de Madera Curada de 4" x 5" x 96" /Voladizo</v>
      </c>
      <c r="C7" s="18" t="s">
        <v>3</v>
      </c>
      <c r="D7" s="18">
        <v>1</v>
      </c>
      <c r="E7" s="18">
        <v>1</v>
      </c>
    </row>
    <row r="8" spans="1:5" x14ac:dyDescent="0.25">
      <c r="A8" s="16" t="s">
        <v>1174</v>
      </c>
      <c r="B8" t="str">
        <f t="shared" si="0"/>
        <v>Perno de Máquina de 1/2" x 10"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419</v>
      </c>
      <c r="B9" t="str">
        <f t="shared" si="0"/>
        <v>Perno de Rosca Corrida 5/8" x 20"</v>
      </c>
      <c r="C9" s="18" t="s">
        <v>3</v>
      </c>
      <c r="D9" s="18">
        <v>1</v>
      </c>
      <c r="E9" s="18">
        <v>1</v>
      </c>
    </row>
    <row r="10" spans="1:5" x14ac:dyDescent="0.25">
      <c r="A10" s="16" t="s">
        <v>5</v>
      </c>
      <c r="B10" t="str">
        <f t="shared" si="0"/>
        <v>Alambre de Amarre N° 6</v>
      </c>
      <c r="C10" s="18" t="s">
        <v>1227</v>
      </c>
      <c r="D10" s="18">
        <v>5</v>
      </c>
      <c r="E10" s="18">
        <v>5</v>
      </c>
    </row>
    <row r="11" spans="1:5" x14ac:dyDescent="0.25">
      <c r="A11" s="16" t="s">
        <v>4</v>
      </c>
      <c r="B11" t="str">
        <f t="shared" si="0"/>
        <v>Aislador de Espiga ANSI C 56-3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336</v>
      </c>
      <c r="B12" t="str">
        <f t="shared" si="0"/>
        <v>Aislador de Espiga ANSI C 55-4</v>
      </c>
      <c r="C12" s="18" t="s">
        <v>3</v>
      </c>
      <c r="D12" s="18">
        <v>0</v>
      </c>
      <c r="E12" s="18">
        <v>2</v>
      </c>
    </row>
    <row r="13" spans="1:5" x14ac:dyDescent="0.25">
      <c r="A13" t="s">
        <v>441</v>
      </c>
      <c r="B13" t="str">
        <f t="shared" si="0"/>
        <v>Varilla de Armar Preformado para Cable ASCR # 1/0 AWG</v>
      </c>
      <c r="C13" s="14" t="s">
        <v>3</v>
      </c>
      <c r="D13" s="14">
        <v>4</v>
      </c>
      <c r="E13" s="14">
        <v>4</v>
      </c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901DFF-3523-471E-8945-6AD0C063711B}">
          <x14:formula1>
            <xm:f>Materiales!$B$2:$B$259</xm:f>
          </x14:formula1>
          <xm:sqref>A2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03D4-3F99-4F01-A832-A35BC9639DE1}">
  <sheetPr codeName="Hoja71"/>
  <dimension ref="A1:E16"/>
  <sheetViews>
    <sheetView workbookViewId="0">
      <selection activeCell="E14" sqref="E14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s="16" t="s">
        <v>5</v>
      </c>
      <c r="B2" t="str">
        <f t="shared" ref="B2:B5" si="0">VLOOKUP(A2,tmat,2,FALSE)</f>
        <v>Alambre de Amarre N° 6</v>
      </c>
      <c r="C2" s="18" t="s">
        <v>1227</v>
      </c>
      <c r="D2" s="18">
        <v>30</v>
      </c>
      <c r="E2" s="18">
        <v>30</v>
      </c>
    </row>
    <row r="3" spans="1:5" x14ac:dyDescent="0.25">
      <c r="A3" s="16" t="s">
        <v>4</v>
      </c>
      <c r="B3" t="str">
        <f t="shared" si="0"/>
        <v>Aislador de Espiga ANSI C 56-3</v>
      </c>
      <c r="C3" s="18" t="s">
        <v>3</v>
      </c>
      <c r="D3" s="18">
        <v>6</v>
      </c>
      <c r="E3" s="18">
        <v>0</v>
      </c>
    </row>
    <row r="4" spans="1:5" x14ac:dyDescent="0.25">
      <c r="A4" s="16" t="s">
        <v>336</v>
      </c>
      <c r="B4" t="str">
        <f t="shared" si="0"/>
        <v>Aislador de Espiga ANSI C 55-4</v>
      </c>
      <c r="C4" s="18" t="s">
        <v>3</v>
      </c>
      <c r="D4" s="18">
        <v>0</v>
      </c>
      <c r="E4" s="18">
        <v>6</v>
      </c>
    </row>
    <row r="5" spans="1:5" x14ac:dyDescent="0.25">
      <c r="A5" s="16" t="s">
        <v>441</v>
      </c>
      <c r="B5" t="str">
        <f t="shared" si="0"/>
        <v>Varilla de Armar Preformado para Cable ASCR # 1/0 AWG</v>
      </c>
      <c r="C5" s="18" t="s">
        <v>3</v>
      </c>
      <c r="D5" s="18">
        <v>3</v>
      </c>
      <c r="E5" s="18">
        <v>3</v>
      </c>
    </row>
    <row r="6" spans="1:5" x14ac:dyDescent="0.25">
      <c r="A6" t="s">
        <v>6</v>
      </c>
      <c r="B6" t="str">
        <f t="shared" ref="B6:B13" si="1">VLOOKUP(A6,tmat,2,FALSE)</f>
        <v>Arandela Cuadrada 3/16" x 2-1/4" x 2-1/4", Ø=11/16"</v>
      </c>
      <c r="C6" s="18" t="s">
        <v>3</v>
      </c>
      <c r="D6" s="18">
        <v>12</v>
      </c>
      <c r="E6" s="18">
        <v>12</v>
      </c>
    </row>
    <row r="7" spans="1:5" x14ac:dyDescent="0.25">
      <c r="A7" s="16" t="s">
        <v>340</v>
      </c>
      <c r="B7" t="str">
        <f t="shared" si="1"/>
        <v>Perno de Máquina de 5/8" x 8"</v>
      </c>
      <c r="C7" s="18" t="s">
        <v>3</v>
      </c>
      <c r="D7" s="18">
        <v>8</v>
      </c>
      <c r="E7" s="18">
        <v>2</v>
      </c>
    </row>
    <row r="8" spans="1:5" x14ac:dyDescent="0.25">
      <c r="A8" s="16" t="s">
        <v>341</v>
      </c>
      <c r="B8" t="str">
        <f t="shared" si="1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337</v>
      </c>
      <c r="B9" t="str">
        <f t="shared" si="1"/>
        <v>Espiga para Cruceta de Madera, L=6" Rosca 1", Φ = 3/4"</v>
      </c>
      <c r="C9" s="18" t="s">
        <v>3</v>
      </c>
      <c r="D9" s="18">
        <v>0</v>
      </c>
      <c r="E9" s="18">
        <v>6</v>
      </c>
    </row>
    <row r="10" spans="1:5" x14ac:dyDescent="0.25">
      <c r="A10" s="16" t="s">
        <v>338</v>
      </c>
      <c r="B10" t="str">
        <f t="shared" si="1"/>
        <v>Espiga para Cruceta de Madera, L=8" Rosca 1-3/8", Φ = 3/4"</v>
      </c>
      <c r="C10" s="18" t="s">
        <v>3</v>
      </c>
      <c r="D10" s="18">
        <v>6</v>
      </c>
      <c r="E10" s="18">
        <v>0</v>
      </c>
    </row>
    <row r="11" spans="1:5" x14ac:dyDescent="0.25">
      <c r="A11" s="16" t="s">
        <v>339</v>
      </c>
      <c r="B11" t="str">
        <f t="shared" si="1"/>
        <v>Crucete de Madera Curada de 4" x 5" x 96" /Voladizo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1174</v>
      </c>
      <c r="B12" t="str">
        <f t="shared" si="1"/>
        <v>Perno de Máquina de 1/2" x 10"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419</v>
      </c>
      <c r="B13" t="str">
        <f t="shared" si="1"/>
        <v>Perno de Rosca Corrida 5/8" x 20"</v>
      </c>
      <c r="C13" s="18" t="s">
        <v>3</v>
      </c>
      <c r="D13" s="18">
        <v>3</v>
      </c>
      <c r="E13" s="18">
        <v>3</v>
      </c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CA6291-7B4C-40C2-965E-A1D5C665EB76}">
          <x14:formula1>
            <xm:f>Materiales!$B$2:$B$259</xm:f>
          </x14:formula1>
          <xm:sqref>A6</xm:sqref>
        </x14:dataValidation>
      </x14:dataValidation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B2D5-F2AF-4351-87EE-D75D77FE06CD}">
  <sheetPr codeName="Hoja72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s="16" t="s">
        <v>376</v>
      </c>
      <c r="B2" t="str">
        <f t="shared" ref="B2:B7" si="0">VLOOKUP(A2,tmat,2,FALSE)</f>
        <v>Aislador de Suspensión ANSI C 52-9</v>
      </c>
      <c r="C2" s="18" t="s">
        <v>3</v>
      </c>
      <c r="D2" s="18">
        <v>9</v>
      </c>
      <c r="E2" s="18">
        <v>6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s="18" t="s">
        <v>3</v>
      </c>
      <c r="D3" s="18">
        <v>6</v>
      </c>
      <c r="E3" s="18">
        <v>6</v>
      </c>
    </row>
    <row r="4" spans="1:5" x14ac:dyDescent="0.25">
      <c r="A4" s="16" t="s">
        <v>334</v>
      </c>
      <c r="B4" t="str">
        <f t="shared" si="0"/>
        <v>Perno de Rosca Corrida 5/8" x 12"</v>
      </c>
      <c r="C4" s="18" t="s">
        <v>3</v>
      </c>
      <c r="D4" s="18">
        <v>3</v>
      </c>
      <c r="E4" s="18">
        <v>3</v>
      </c>
    </row>
    <row r="5" spans="1:5" x14ac:dyDescent="0.25">
      <c r="A5" s="16" t="s">
        <v>333</v>
      </c>
      <c r="B5" t="str">
        <f t="shared" si="0"/>
        <v>Tuerca de Ojo de 5/8"</v>
      </c>
      <c r="C5" s="18" t="s">
        <v>3</v>
      </c>
      <c r="D5" s="18">
        <v>3</v>
      </c>
      <c r="E5" s="18">
        <v>3</v>
      </c>
    </row>
    <row r="6" spans="1:5" x14ac:dyDescent="0.25">
      <c r="A6" s="16" t="s">
        <v>411</v>
      </c>
      <c r="B6" t="str">
        <f t="shared" si="0"/>
        <v>Grapa de Suspensión para Conductor (1/0- 477)</v>
      </c>
      <c r="C6" s="18" t="s">
        <v>3</v>
      </c>
      <c r="D6" s="18">
        <v>3</v>
      </c>
      <c r="E6" s="18">
        <v>3</v>
      </c>
    </row>
    <row r="7" spans="1:5" x14ac:dyDescent="0.25">
      <c r="A7" t="s">
        <v>441</v>
      </c>
      <c r="B7" t="str">
        <f t="shared" si="0"/>
        <v>Varilla de Armar Preformado para Cable ASCR # 1/0 AWG</v>
      </c>
      <c r="C7" s="14" t="s">
        <v>3</v>
      </c>
      <c r="D7" s="14">
        <v>3</v>
      </c>
      <c r="E7" s="14">
        <v>3</v>
      </c>
    </row>
    <row r="8" spans="1:5" x14ac:dyDescent="0.25">
      <c r="A8" s="16"/>
      <c r="B8" s="16"/>
      <c r="C8" s="18"/>
      <c r="D8" s="18"/>
      <c r="E8" s="18"/>
    </row>
    <row r="9" spans="1:5" x14ac:dyDescent="0.25">
      <c r="A9" s="16"/>
      <c r="B9" s="16"/>
      <c r="C9" s="18"/>
      <c r="D9" s="18"/>
      <c r="E9" s="18"/>
    </row>
    <row r="10" spans="1:5" x14ac:dyDescent="0.25">
      <c r="A10" s="16"/>
      <c r="B10" s="16"/>
      <c r="C10" s="18"/>
      <c r="D10" s="18"/>
      <c r="E10" s="18"/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D577EB-C20D-4ED6-B3FA-9719E8BEDD3B}">
          <x14:formula1>
            <xm:f>Materiales!$B$2:$B$259</xm:f>
          </x14:formula1>
          <xm:sqref>A3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EAE0-045A-425C-A8D5-7E0B1C30E66E}">
  <sheetPr codeName="Hoja73"/>
  <dimension ref="A1:E16"/>
  <sheetViews>
    <sheetView workbookViewId="0">
      <selection activeCell="G23" sqref="G23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9</v>
      </c>
      <c r="E4" s="18">
        <v>6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335</v>
      </c>
      <c r="B6" t="str">
        <f t="shared" si="0"/>
        <v>Grapa Terminal tipo Recto para Conductor (1/0 - 4/0)</v>
      </c>
      <c r="C6" s="18" t="s">
        <v>3</v>
      </c>
      <c r="D6" s="18">
        <v>3</v>
      </c>
      <c r="E6" s="18">
        <v>3</v>
      </c>
    </row>
    <row r="7" spans="1:5" x14ac:dyDescent="0.25">
      <c r="A7" s="16" t="s">
        <v>347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25">
      <c r="A8" s="16" t="s">
        <v>1174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419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25">
      <c r="A10" s="16" t="s">
        <v>333</v>
      </c>
      <c r="B10" t="str">
        <f t="shared" si="0"/>
        <v>Tuerca de Ojo de 5/8"</v>
      </c>
      <c r="C10" s="18" t="s">
        <v>3</v>
      </c>
      <c r="D10" s="18">
        <v>3</v>
      </c>
      <c r="E10" s="18">
        <v>3</v>
      </c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C60684-7D8D-4364-8DFF-F29423018F9A}">
          <x14:formula1>
            <xm:f>Materiales!$B$2:$B$259</xm:f>
          </x14:formula1>
          <xm:sqref>A2</xm:sqref>
        </x14:dataValidation>
      </x14:dataValidation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C630-8E3A-455B-9036-5C38F2344037}">
  <sheetPr codeName="Hoja74"/>
  <dimension ref="A1:E16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s="16" t="s">
        <v>376</v>
      </c>
      <c r="B2" t="str">
        <f t="shared" ref="B2:B14" si="0">VLOOKUP(A2,tmat,2,FALSE)</f>
        <v>Aislador de Suspensión ANSI C 52-9</v>
      </c>
      <c r="C2" s="18" t="s">
        <v>3</v>
      </c>
      <c r="D2" s="18">
        <v>6</v>
      </c>
      <c r="E2" s="18">
        <v>6</v>
      </c>
    </row>
    <row r="3" spans="1:5" x14ac:dyDescent="0.25">
      <c r="A3" s="16" t="s">
        <v>5</v>
      </c>
      <c r="B3" t="str">
        <f t="shared" si="0"/>
        <v>Alambre de Amarre N° 6</v>
      </c>
      <c r="C3" s="18" t="s">
        <v>1227</v>
      </c>
      <c r="D3" s="18">
        <v>15</v>
      </c>
      <c r="E3" s="18">
        <v>15</v>
      </c>
    </row>
    <row r="4" spans="1:5" x14ac:dyDescent="0.25">
      <c r="A4" s="16" t="s">
        <v>337</v>
      </c>
      <c r="B4" t="str">
        <f t="shared" si="0"/>
        <v>Espiga para Cruceta de Madera, L=6" Rosca 1", Φ = 3/4"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338</v>
      </c>
      <c r="B5" t="str">
        <f t="shared" si="0"/>
        <v>Espiga para Cruceta de Madera, L=8" Rosca 1-3/8", Φ = 3/4"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335</v>
      </c>
      <c r="B6" t="str">
        <f t="shared" si="0"/>
        <v>Grapa Terminal tipo Recto para Conductor (1/0 - 4/0)</v>
      </c>
      <c r="C6" s="18" t="s">
        <v>3</v>
      </c>
      <c r="D6" s="18">
        <v>3</v>
      </c>
      <c r="E6" s="18">
        <v>3</v>
      </c>
    </row>
    <row r="7" spans="1:5" x14ac:dyDescent="0.25">
      <c r="A7" s="16" t="s">
        <v>333</v>
      </c>
      <c r="B7" t="str">
        <f t="shared" si="0"/>
        <v>Tuerca de Ojo de 5/8"</v>
      </c>
      <c r="C7" s="18" t="s">
        <v>3</v>
      </c>
      <c r="D7" s="18">
        <v>3</v>
      </c>
      <c r="E7" s="18">
        <v>3</v>
      </c>
    </row>
    <row r="8" spans="1:5" x14ac:dyDescent="0.25">
      <c r="A8" s="16" t="s">
        <v>4</v>
      </c>
      <c r="B8" t="str">
        <f t="shared" si="0"/>
        <v>Aislador de Espiga ANSI C 56-3</v>
      </c>
      <c r="C8" s="18" t="s">
        <v>3</v>
      </c>
      <c r="D8" s="18">
        <v>3</v>
      </c>
      <c r="E8" s="18">
        <v>3</v>
      </c>
    </row>
    <row r="9" spans="1:5" x14ac:dyDescent="0.25">
      <c r="A9" s="16" t="s">
        <v>336</v>
      </c>
      <c r="B9" t="str">
        <f t="shared" si="0"/>
        <v>Aislador de Espiga ANSI C 55-4</v>
      </c>
      <c r="C9" s="18" t="s">
        <v>3</v>
      </c>
      <c r="D9" s="18">
        <v>0</v>
      </c>
      <c r="E9" s="18">
        <v>3</v>
      </c>
    </row>
    <row r="10" spans="1:5" x14ac:dyDescent="0.25">
      <c r="A10" s="16" t="s">
        <v>8</v>
      </c>
      <c r="B10" t="str">
        <f t="shared" si="0"/>
        <v>Espiga Punta de Poste tipo Recta, 13.8 KV, L=18" Rosca 1"</v>
      </c>
      <c r="C10" s="18" t="s">
        <v>3</v>
      </c>
      <c r="D10" s="18">
        <v>1</v>
      </c>
      <c r="E10" s="18">
        <v>0</v>
      </c>
    </row>
    <row r="11" spans="1:5" x14ac:dyDescent="0.25">
      <c r="A11" s="16" t="s">
        <v>7</v>
      </c>
      <c r="B11" t="str">
        <f t="shared" si="0"/>
        <v>Espiga Punta de Poste tipo Recta, 34.5 KV, L=20" Rosca 1-3/8"</v>
      </c>
      <c r="C11" s="18" t="s">
        <v>3</v>
      </c>
      <c r="D11" s="18">
        <v>0</v>
      </c>
      <c r="E11" s="18">
        <v>1</v>
      </c>
    </row>
    <row r="12" spans="1:5" x14ac:dyDescent="0.25">
      <c r="A12" s="16" t="s">
        <v>9</v>
      </c>
      <c r="B12" t="str">
        <f t="shared" si="0"/>
        <v>Perno de Máquina de 5/8" x 10"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6</v>
      </c>
      <c r="B13" t="str">
        <f t="shared" si="0"/>
        <v>Arandela Cuadrada 3/16" x 2-1/4" x 2-1/4", Ø=11/16"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389</v>
      </c>
      <c r="B14" t="str">
        <f t="shared" si="0"/>
        <v>Conector de Compresión YC 25A25 (1/0-1/0)</v>
      </c>
      <c r="C14" s="18" t="s">
        <v>3</v>
      </c>
      <c r="D14" s="18">
        <v>3</v>
      </c>
      <c r="E14" s="18">
        <v>3</v>
      </c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3799-025D-4D7A-A352-F838E77A6A94}">
  <sheetPr codeName="Hoja75"/>
  <dimension ref="A1:E16"/>
  <sheetViews>
    <sheetView workbookViewId="0">
      <selection activeCell="B9" sqref="B9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1174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333</v>
      </c>
      <c r="B8" t="str">
        <f t="shared" si="0"/>
        <v>Tuerca de Ojo de 5/8"</v>
      </c>
      <c r="C8" s="18" t="s">
        <v>3</v>
      </c>
      <c r="D8" s="18">
        <v>3</v>
      </c>
      <c r="E8" s="18">
        <v>3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1227</v>
      </c>
      <c r="D9" s="18">
        <v>10</v>
      </c>
      <c r="E9" s="18">
        <v>10</v>
      </c>
    </row>
    <row r="10" spans="1:5" x14ac:dyDescent="0.25">
      <c r="A10" s="16" t="s">
        <v>337</v>
      </c>
      <c r="B10" t="str">
        <f t="shared" si="0"/>
        <v>Espiga para Cruceta de Madera, L=6" Rosca 1", Φ = 3/4"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338</v>
      </c>
      <c r="B11" t="str">
        <f t="shared" si="0"/>
        <v>Espiga para Cruceta de Madera, L=8" Rosca 1-3/8", Φ = 3/4"</v>
      </c>
      <c r="C11" s="18" t="s">
        <v>3</v>
      </c>
      <c r="D11" s="18">
        <v>3</v>
      </c>
      <c r="E11" s="18">
        <v>3</v>
      </c>
    </row>
    <row r="12" spans="1:5" x14ac:dyDescent="0.25">
      <c r="A12" s="16" t="s">
        <v>419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25">
      <c r="A13" s="16" t="s">
        <v>335</v>
      </c>
      <c r="B13" t="str">
        <f t="shared" si="0"/>
        <v>Grapa Terminal tipo Recto para Conductor (1/0 - 4/0)</v>
      </c>
      <c r="C13" s="18" t="s">
        <v>3</v>
      </c>
      <c r="D13" s="18">
        <v>3</v>
      </c>
      <c r="E13" s="18">
        <v>3</v>
      </c>
    </row>
    <row r="14" spans="1:5" x14ac:dyDescent="0.25">
      <c r="A14" s="16" t="s">
        <v>4</v>
      </c>
      <c r="B14" t="str">
        <f t="shared" si="0"/>
        <v>Aislador de Espiga ANSI C 56-3</v>
      </c>
      <c r="C14" s="18" t="s">
        <v>3</v>
      </c>
      <c r="D14" s="18">
        <v>2</v>
      </c>
      <c r="E14" s="18">
        <v>2</v>
      </c>
    </row>
    <row r="15" spans="1:5" x14ac:dyDescent="0.25">
      <c r="A15" s="16" t="s">
        <v>336</v>
      </c>
      <c r="B15" t="str">
        <f t="shared" si="0"/>
        <v>Aislador de Espiga ANSI C 55-4</v>
      </c>
      <c r="C15" s="18" t="s">
        <v>3</v>
      </c>
      <c r="D15" s="18">
        <v>0</v>
      </c>
      <c r="E15" s="18">
        <v>2</v>
      </c>
    </row>
    <row r="16" spans="1:5" x14ac:dyDescent="0.25">
      <c r="A16" s="16" t="s">
        <v>389</v>
      </c>
      <c r="B16" t="str">
        <f t="shared" si="0"/>
        <v>Conector de Compresión YC 25A25 (1/0-1/0)</v>
      </c>
      <c r="C16" s="18" t="s">
        <v>3</v>
      </c>
      <c r="D16" s="18">
        <v>3</v>
      </c>
      <c r="E16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FE1A4C-D282-4073-BC71-12B053EDCD90}">
          <x14:formula1>
            <xm:f>Materiales!$B$2:$B$259</xm:f>
          </x14:formula1>
          <xm:sqref>A2</xm:sqref>
        </x14:dataValidation>
      </x14:dataValidation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BEAE-B97B-44DC-815A-2962C7B327B3}">
  <sheetPr codeName="Hoja76"/>
  <dimension ref="A1:E16"/>
  <sheetViews>
    <sheetView workbookViewId="0">
      <selection activeCell="A9" sqref="A9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1174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333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1227</v>
      </c>
      <c r="D9" s="18">
        <v>5</v>
      </c>
      <c r="E9" s="18">
        <v>5</v>
      </c>
    </row>
    <row r="10" spans="1:5" x14ac:dyDescent="0.25">
      <c r="A10" s="16" t="s">
        <v>337</v>
      </c>
      <c r="B10" t="str">
        <f t="shared" si="0"/>
        <v>Espiga para Cruceta de Madera, L=6" Rosca 1", Φ = 3/4"</v>
      </c>
      <c r="C10" s="18" t="s">
        <v>3</v>
      </c>
      <c r="D10" s="18">
        <v>1</v>
      </c>
      <c r="E10" s="18">
        <v>1</v>
      </c>
    </row>
    <row r="11" spans="1:5" x14ac:dyDescent="0.25">
      <c r="A11" s="16" t="s">
        <v>338</v>
      </c>
      <c r="B11" t="str">
        <f t="shared" si="0"/>
        <v>Espiga para Cruceta de Madera, L=8" Rosca 1-3/8", Φ = 3/4"</v>
      </c>
      <c r="C11" s="18" t="s">
        <v>3</v>
      </c>
      <c r="D11" s="18">
        <v>3</v>
      </c>
      <c r="E11" s="18">
        <v>3</v>
      </c>
    </row>
    <row r="12" spans="1:5" x14ac:dyDescent="0.25">
      <c r="A12" s="16" t="s">
        <v>419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25">
      <c r="A13" s="16" t="s">
        <v>335</v>
      </c>
      <c r="B13" t="str">
        <f t="shared" si="0"/>
        <v>Grapa Terminal tipo Recto para Conductor (1/0 - 4/0)</v>
      </c>
      <c r="C13" s="18" t="s">
        <v>3</v>
      </c>
      <c r="D13" s="18">
        <v>3</v>
      </c>
      <c r="E13" s="18">
        <v>3</v>
      </c>
    </row>
    <row r="14" spans="1:5" x14ac:dyDescent="0.25">
      <c r="A14" s="16" t="s">
        <v>4</v>
      </c>
      <c r="B14" t="str">
        <f t="shared" si="0"/>
        <v>Aislador de Espiga ANSI C 56-3</v>
      </c>
      <c r="C14" s="18" t="s">
        <v>3</v>
      </c>
      <c r="D14" s="18">
        <v>1</v>
      </c>
      <c r="E14" s="18">
        <v>1</v>
      </c>
    </row>
    <row r="15" spans="1:5" x14ac:dyDescent="0.25">
      <c r="A15" s="16" t="s">
        <v>336</v>
      </c>
      <c r="B15" t="str">
        <f t="shared" si="0"/>
        <v>Aislador de Espiga ANSI C 55-4</v>
      </c>
      <c r="C15" s="18" t="s">
        <v>3</v>
      </c>
      <c r="D15" s="18">
        <v>0</v>
      </c>
      <c r="E15" s="18">
        <v>1</v>
      </c>
    </row>
    <row r="16" spans="1:5" x14ac:dyDescent="0.25">
      <c r="A16" s="16" t="s">
        <v>389</v>
      </c>
      <c r="B16" t="str">
        <f t="shared" si="0"/>
        <v>Conector de Compresión YC 25A25 (1/0-1/0)</v>
      </c>
      <c r="C16" s="18" t="s">
        <v>3</v>
      </c>
      <c r="D16" s="18">
        <v>3</v>
      </c>
      <c r="E16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6D8171-3172-4888-A46F-C12D45AB2A74}">
          <x14:formula1>
            <xm:f>Materiales!$B$2:$B$259</xm:f>
          </x14:formula1>
          <xm:sqref>A2</xm:sqref>
        </x14:dataValidation>
      </x14:dataValidation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F4EE-B28C-44D0-B3A2-280E9F95FF9A}">
  <sheetPr codeName="Hoja77"/>
  <dimension ref="A1:E16"/>
  <sheetViews>
    <sheetView workbookViewId="0">
      <selection activeCell="F8" sqref="F8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14</v>
      </c>
      <c r="E2" s="18">
        <v>14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10</v>
      </c>
      <c r="E4" s="18">
        <v>7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335</v>
      </c>
      <c r="B6" t="str">
        <f t="shared" si="0"/>
        <v>Grapa Terminal tipo Recto para Conductor (1/0 - 4/0)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347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25">
      <c r="A8" s="16" t="s">
        <v>1174</v>
      </c>
      <c r="B8" t="str">
        <f t="shared" si="0"/>
        <v>Perno de Máquina de 1/2" x 10"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419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25">
      <c r="A10" s="16" t="s">
        <v>333</v>
      </c>
      <c r="B10" t="str">
        <f t="shared" si="0"/>
        <v>Tuerca de Ojo de 5/8"</v>
      </c>
      <c r="C10" s="18" t="s">
        <v>3</v>
      </c>
      <c r="D10" s="18">
        <v>4</v>
      </c>
      <c r="E10" s="18">
        <v>4</v>
      </c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0AFB29-6F54-4F9E-8475-345F7ECF4340}">
          <x14:formula1>
            <xm:f>Materiales!$B$2:$B$259</xm:f>
          </x14:formula1>
          <xm:sqref>A2</xm:sqref>
        </x14:dataValidation>
      </x14:dataValidation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4EF6-DC74-45D0-980E-5147BC9B31CC}">
  <sheetPr codeName="Hoja78"/>
  <dimension ref="A1:E16"/>
  <sheetViews>
    <sheetView workbookViewId="0">
      <selection activeCell="C10" sqref="C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847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4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346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376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25">
      <c r="A5" s="16" t="s">
        <v>401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347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849</v>
      </c>
      <c r="B7" t="str">
        <f t="shared" si="0"/>
        <v>Tornillo Goloso de 1/2" x 4"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333</v>
      </c>
      <c r="B8" t="str">
        <f t="shared" si="0"/>
        <v>Tuerca de Ojo de 5/8"</v>
      </c>
      <c r="C8" s="18" t="s">
        <v>3</v>
      </c>
      <c r="D8" s="18">
        <v>3</v>
      </c>
      <c r="E8" s="18">
        <v>3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1227</v>
      </c>
      <c r="D9" s="18">
        <v>10</v>
      </c>
      <c r="E9" s="18">
        <v>10</v>
      </c>
    </row>
    <row r="10" spans="1:5" x14ac:dyDescent="0.25">
      <c r="A10" s="16" t="s">
        <v>337</v>
      </c>
      <c r="B10" t="str">
        <f t="shared" si="0"/>
        <v>Espiga para Cruceta de Madera, L=6" Rosca 1", Φ = 3/4"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338</v>
      </c>
      <c r="B11" t="str">
        <f t="shared" si="0"/>
        <v>Espiga para Cruceta de Madera, L=8" Rosca 1-3/8", Φ = 3/4"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419</v>
      </c>
      <c r="B12" t="str">
        <f t="shared" si="0"/>
        <v>Perno de Rosca Corrida 5/8" x 20"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</v>
      </c>
      <c r="B13" t="str">
        <f t="shared" si="0"/>
        <v>Aislador de Espiga ANSI C 56-3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336</v>
      </c>
      <c r="B14" t="str">
        <f t="shared" si="0"/>
        <v>Aislador de Espiga ANSI C 55-4</v>
      </c>
      <c r="C14" s="18" t="s">
        <v>3</v>
      </c>
      <c r="D14" s="18">
        <v>0</v>
      </c>
      <c r="E14" s="18">
        <v>2</v>
      </c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DB30A8-A7BF-4A36-B5D5-7E53E18852F8}">
          <x14:formula1>
            <xm:f>Materiales!$B$2:$B$259</xm:f>
          </x14:formula1>
          <xm:sqref>A2</xm:sqref>
        </x14:dataValidation>
      </x14:dataValidation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9BE4-8634-459C-B6A7-0BA49800267F}">
  <sheetPr codeName="Hoja79"/>
  <dimension ref="A1:E19"/>
  <sheetViews>
    <sheetView workbookViewId="0">
      <selection activeCell="D5" sqref="D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t="s">
        <v>3</v>
      </c>
      <c r="D2">
        <v>14</v>
      </c>
      <c r="E2">
        <v>14</v>
      </c>
    </row>
    <row r="3" spans="1:5" x14ac:dyDescent="0.25">
      <c r="A3" t="s">
        <v>346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18</v>
      </c>
      <c r="E4">
        <v>12</v>
      </c>
    </row>
    <row r="5" spans="1:5" x14ac:dyDescent="0.25">
      <c r="A5" t="s">
        <v>401</v>
      </c>
      <c r="B5" t="str">
        <f t="shared" si="0"/>
        <v>Crucete de Madera Curada de 4" x 5" x 96"</v>
      </c>
      <c r="C5" t="s">
        <v>3</v>
      </c>
      <c r="D5">
        <v>2</v>
      </c>
      <c r="E5">
        <v>2</v>
      </c>
    </row>
    <row r="6" spans="1:5" x14ac:dyDescent="0.25">
      <c r="A6" t="s">
        <v>347</v>
      </c>
      <c r="B6" t="str">
        <f t="shared" si="0"/>
        <v>Tirante de Pletina de 1/4" x 1-1/4" x 30"</v>
      </c>
      <c r="C6" t="s">
        <v>3</v>
      </c>
      <c r="D6">
        <v>4</v>
      </c>
      <c r="E6">
        <v>4</v>
      </c>
    </row>
    <row r="7" spans="1:5" x14ac:dyDescent="0.25">
      <c r="A7" t="s">
        <v>1174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25">
      <c r="A8" t="s">
        <v>333</v>
      </c>
      <c r="B8" t="str">
        <f t="shared" si="0"/>
        <v>Tuerca de Ojo de 5/8"</v>
      </c>
      <c r="C8" t="s">
        <v>3</v>
      </c>
      <c r="D8">
        <v>6</v>
      </c>
      <c r="E8">
        <v>6</v>
      </c>
    </row>
    <row r="9" spans="1:5" x14ac:dyDescent="0.25">
      <c r="A9" t="s">
        <v>5</v>
      </c>
      <c r="B9" t="str">
        <f t="shared" si="0"/>
        <v>Alambre de Amarre N° 6</v>
      </c>
      <c r="C9" t="s">
        <v>1227</v>
      </c>
      <c r="D9">
        <v>15</v>
      </c>
      <c r="E9">
        <v>15</v>
      </c>
    </row>
    <row r="10" spans="1:5" x14ac:dyDescent="0.25">
      <c r="A10" t="s">
        <v>337</v>
      </c>
      <c r="B10" t="str">
        <f t="shared" si="0"/>
        <v>Espiga para Cruceta de Madera, L=6" Rosca 1", Φ = 3/4"</v>
      </c>
      <c r="C10" t="s">
        <v>3</v>
      </c>
      <c r="D10">
        <v>2</v>
      </c>
      <c r="E10">
        <v>2</v>
      </c>
    </row>
    <row r="11" spans="1:5" x14ac:dyDescent="0.25">
      <c r="A11" t="s">
        <v>338</v>
      </c>
      <c r="B11" t="str">
        <f t="shared" si="0"/>
        <v>Espiga para Cruceta de Madera, L=8" Rosca 1-3/8", Φ = 3/4"</v>
      </c>
      <c r="C11" t="s">
        <v>3</v>
      </c>
      <c r="D11">
        <v>3</v>
      </c>
      <c r="E11">
        <v>3</v>
      </c>
    </row>
    <row r="12" spans="1:5" x14ac:dyDescent="0.25">
      <c r="A12" t="s">
        <v>419</v>
      </c>
      <c r="B12" t="str">
        <f t="shared" si="0"/>
        <v>Perno de Rosca Corrida 5/8" x 20"</v>
      </c>
      <c r="C12" t="s">
        <v>3</v>
      </c>
      <c r="D12">
        <v>3</v>
      </c>
      <c r="E12">
        <v>3</v>
      </c>
    </row>
    <row r="13" spans="1:5" x14ac:dyDescent="0.25">
      <c r="A13" t="s">
        <v>335</v>
      </c>
      <c r="B13" t="str">
        <f t="shared" si="0"/>
        <v>Grapa Terminal tipo Recto para Conductor (1/0 - 4/0)</v>
      </c>
      <c r="C13" t="s">
        <v>3</v>
      </c>
      <c r="D13">
        <v>6</v>
      </c>
      <c r="E13">
        <v>6</v>
      </c>
    </row>
    <row r="14" spans="1:5" x14ac:dyDescent="0.25">
      <c r="A14" t="s">
        <v>4</v>
      </c>
      <c r="B14" t="str">
        <f t="shared" si="0"/>
        <v>Aislador de Espiga ANSI C 56-3</v>
      </c>
      <c r="C14" t="s">
        <v>3</v>
      </c>
      <c r="D14">
        <v>3</v>
      </c>
      <c r="E14">
        <v>3</v>
      </c>
    </row>
    <row r="15" spans="1:5" x14ac:dyDescent="0.25">
      <c r="A15" t="s">
        <v>336</v>
      </c>
      <c r="B15" t="str">
        <f t="shared" si="0"/>
        <v>Aislador de Espiga ANSI C 55-4</v>
      </c>
      <c r="C15" t="s">
        <v>3</v>
      </c>
      <c r="D15">
        <v>0</v>
      </c>
      <c r="E15">
        <v>3</v>
      </c>
    </row>
    <row r="16" spans="1:5" x14ac:dyDescent="0.25">
      <c r="A16" t="s">
        <v>389</v>
      </c>
      <c r="B16" t="str">
        <f t="shared" si="0"/>
        <v>Conector de Compresión YC 25A25 (1/0-1/0)</v>
      </c>
      <c r="C16" t="s">
        <v>3</v>
      </c>
      <c r="D16">
        <v>3</v>
      </c>
      <c r="E16">
        <v>3</v>
      </c>
    </row>
    <row r="17" spans="1:5" x14ac:dyDescent="0.25">
      <c r="A17" t="s">
        <v>8</v>
      </c>
      <c r="B17" t="str">
        <f t="shared" si="0"/>
        <v>Espiga Punta de Poste tipo Recta, 13.8 KV, L=18" Rosca 1"</v>
      </c>
      <c r="C17" t="s">
        <v>3</v>
      </c>
      <c r="D17">
        <v>1</v>
      </c>
      <c r="E17">
        <v>0</v>
      </c>
    </row>
    <row r="18" spans="1:5" x14ac:dyDescent="0.25">
      <c r="A18" t="s">
        <v>7</v>
      </c>
      <c r="B18" t="str">
        <f t="shared" si="0"/>
        <v>Espiga Punta de Poste tipo Recta, 34.5 KV, L=20" Rosca 1-3/8"</v>
      </c>
      <c r="C18" t="s">
        <v>3</v>
      </c>
      <c r="D18">
        <v>0</v>
      </c>
      <c r="E18">
        <v>1</v>
      </c>
    </row>
    <row r="19" spans="1:5" x14ac:dyDescent="0.25">
      <c r="A19" t="s">
        <v>9</v>
      </c>
      <c r="B19" t="str">
        <f t="shared" si="0"/>
        <v>Perno de Máquina de 5/8" x 10"</v>
      </c>
      <c r="C19" t="s">
        <v>3</v>
      </c>
      <c r="D19">
        <v>2</v>
      </c>
      <c r="E19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812EE9-2FD2-4564-B931-73CD18E1ACE7}">
          <x14:formula1>
            <xm:f>Materiales!$B$2:$B$259</xm:f>
          </x14:formula1>
          <xm:sqref>A2</xm:sqref>
        </x14:dataValidation>
      </x14:dataValidation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C1F8-425B-4847-8D63-F3AD2DC63B89}">
  <sheetPr codeName="Hoja80"/>
  <dimension ref="A1:E19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t="s">
        <v>3</v>
      </c>
      <c r="D2">
        <v>4</v>
      </c>
      <c r="E2">
        <v>4</v>
      </c>
    </row>
    <row r="3" spans="1:5" x14ac:dyDescent="0.25">
      <c r="A3" t="s">
        <v>346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25">
      <c r="A5" t="s">
        <v>401</v>
      </c>
      <c r="B5" t="str">
        <f t="shared" si="0"/>
        <v>Crucete de Madera Curada de 4" x 5" x 96"</v>
      </c>
      <c r="C5" t="s">
        <v>3</v>
      </c>
      <c r="D5">
        <v>2</v>
      </c>
      <c r="E5">
        <v>2</v>
      </c>
    </row>
    <row r="6" spans="1:5" x14ac:dyDescent="0.25">
      <c r="A6" t="s">
        <v>347</v>
      </c>
      <c r="B6" t="str">
        <f t="shared" si="0"/>
        <v>Tirante de Pletina de 1/4" x 1-1/4" x 30"</v>
      </c>
      <c r="C6" t="s">
        <v>3</v>
      </c>
      <c r="D6">
        <v>4</v>
      </c>
      <c r="E6">
        <v>4</v>
      </c>
    </row>
    <row r="7" spans="1:5" x14ac:dyDescent="0.25">
      <c r="A7" t="s">
        <v>1174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25">
      <c r="A8" t="s">
        <v>419</v>
      </c>
      <c r="B8" t="str">
        <f t="shared" si="0"/>
        <v>Perno de Rosca Corrida 5/8" x 20"</v>
      </c>
      <c r="C8" t="s">
        <v>3</v>
      </c>
      <c r="D8">
        <v>3</v>
      </c>
      <c r="E8">
        <v>3</v>
      </c>
    </row>
    <row r="9" spans="1:5" x14ac:dyDescent="0.25">
      <c r="A9" t="s">
        <v>333</v>
      </c>
      <c r="B9" t="str">
        <f t="shared" si="0"/>
        <v>Tuerca de Ojo de 5/8"</v>
      </c>
      <c r="C9" t="s">
        <v>3</v>
      </c>
      <c r="D9">
        <v>8</v>
      </c>
      <c r="E9">
        <v>8</v>
      </c>
    </row>
    <row r="10" spans="1:5" x14ac:dyDescent="0.25">
      <c r="A10" t="s">
        <v>5</v>
      </c>
      <c r="B10" t="str">
        <f t="shared" si="0"/>
        <v>Alambre de Amarre N° 6</v>
      </c>
      <c r="C10" t="s">
        <v>1227</v>
      </c>
      <c r="D10">
        <v>15</v>
      </c>
      <c r="E10">
        <v>15</v>
      </c>
    </row>
    <row r="11" spans="1:5" x14ac:dyDescent="0.25">
      <c r="A11" t="s">
        <v>337</v>
      </c>
      <c r="B11" t="str">
        <f t="shared" si="0"/>
        <v>Espiga para Cruceta de Madera, L=6" Rosca 1", Φ = 3/4"</v>
      </c>
      <c r="C11" t="s">
        <v>3</v>
      </c>
      <c r="D11">
        <v>2</v>
      </c>
      <c r="E11">
        <v>2</v>
      </c>
    </row>
    <row r="12" spans="1:5" x14ac:dyDescent="0.25">
      <c r="A12" t="s">
        <v>338</v>
      </c>
      <c r="B12" t="str">
        <f t="shared" si="0"/>
        <v>Espiga para Cruceta de Madera, L=8" Rosca 1-3/8", Φ = 3/4"</v>
      </c>
      <c r="C12" t="s">
        <v>3</v>
      </c>
      <c r="D12">
        <v>4</v>
      </c>
      <c r="E12">
        <v>4</v>
      </c>
    </row>
    <row r="13" spans="1:5" x14ac:dyDescent="0.25">
      <c r="A13" t="s">
        <v>9</v>
      </c>
      <c r="B13" t="str">
        <f t="shared" si="0"/>
        <v>Perno de Máquina de 5/8" x 10"</v>
      </c>
      <c r="C13" t="s">
        <v>3</v>
      </c>
      <c r="D13">
        <v>2</v>
      </c>
      <c r="E13">
        <v>2</v>
      </c>
    </row>
    <row r="14" spans="1:5" x14ac:dyDescent="0.25">
      <c r="A14" t="s">
        <v>4</v>
      </c>
      <c r="B14" t="str">
        <f t="shared" si="0"/>
        <v>Aislador de Espiga ANSI C 56-3</v>
      </c>
      <c r="C14" t="s">
        <v>3</v>
      </c>
      <c r="D14">
        <v>3</v>
      </c>
      <c r="E14">
        <v>3</v>
      </c>
    </row>
    <row r="15" spans="1:5" x14ac:dyDescent="0.25">
      <c r="A15" t="s">
        <v>336</v>
      </c>
      <c r="B15" t="str">
        <f t="shared" si="0"/>
        <v>Aislador de Espiga ANSI C 55-4</v>
      </c>
      <c r="C15" t="s">
        <v>3</v>
      </c>
      <c r="D15">
        <v>0</v>
      </c>
      <c r="E15">
        <v>3</v>
      </c>
    </row>
    <row r="16" spans="1:5" x14ac:dyDescent="0.25">
      <c r="A16" t="s">
        <v>335</v>
      </c>
      <c r="B16" t="str">
        <f t="shared" si="0"/>
        <v>Grapa Terminal tipo Recto para Conductor (1/0 - 4/0)</v>
      </c>
      <c r="C16" t="s">
        <v>3</v>
      </c>
      <c r="D16">
        <v>8</v>
      </c>
      <c r="E16">
        <v>8</v>
      </c>
    </row>
    <row r="17" spans="1:5" x14ac:dyDescent="0.25">
      <c r="A17" t="s">
        <v>389</v>
      </c>
      <c r="B17" t="str">
        <f t="shared" si="0"/>
        <v>Conector de Compresión YC 25A25 (1/0-1/0)</v>
      </c>
      <c r="C17" t="s">
        <v>3</v>
      </c>
      <c r="D17">
        <v>4</v>
      </c>
      <c r="E17">
        <v>4</v>
      </c>
    </row>
    <row r="18" spans="1:5" x14ac:dyDescent="0.25">
      <c r="A18" t="s">
        <v>8</v>
      </c>
      <c r="B18" t="str">
        <f t="shared" si="0"/>
        <v>Espiga Punta de Poste tipo Recta, 13.8 KV, L=18" Rosca 1"</v>
      </c>
      <c r="C18" t="s">
        <v>3</v>
      </c>
      <c r="D18">
        <v>1</v>
      </c>
      <c r="E18">
        <v>0</v>
      </c>
    </row>
    <row r="19" spans="1:5" x14ac:dyDescent="0.25">
      <c r="A19" t="s">
        <v>7</v>
      </c>
      <c r="B19" t="str">
        <f t="shared" si="0"/>
        <v>Espiga Punta de Poste tipo Recta, 34.5 KV, L=20" Rosca 1-3/8"</v>
      </c>
      <c r="C19" t="s">
        <v>3</v>
      </c>
      <c r="D19">
        <v>0</v>
      </c>
      <c r="E1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214E23-5B78-47A0-8196-830B035DF9F7}">
          <x14:formula1>
            <xm:f>Materiales!$B$2:$B$259</xm:f>
          </x14:formula1>
          <xm:sqref>A2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A3E5-DBB3-46DD-8102-664F83DED407}">
  <sheetPr codeName="Hoja81"/>
  <dimension ref="A1:E15"/>
  <sheetViews>
    <sheetView workbookViewId="0">
      <selection activeCell="D14" sqref="D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5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418</v>
      </c>
      <c r="B3" t="str">
        <f t="shared" si="0"/>
        <v>Perno de Rosca Corrida 5/8" x 16"</v>
      </c>
      <c r="C3" t="s">
        <v>3</v>
      </c>
      <c r="D3">
        <v>3</v>
      </c>
      <c r="E3">
        <v>3</v>
      </c>
    </row>
    <row r="4" spans="1:5" x14ac:dyDescent="0.25">
      <c r="A4" t="s">
        <v>333</v>
      </c>
      <c r="B4" t="str">
        <f t="shared" si="0"/>
        <v>Tuerca de Ojo de 5/8"</v>
      </c>
      <c r="C4" t="s">
        <v>3</v>
      </c>
      <c r="D4">
        <v>6</v>
      </c>
      <c r="E4">
        <v>6</v>
      </c>
    </row>
    <row r="5" spans="1:5" x14ac:dyDescent="0.25">
      <c r="A5" t="s">
        <v>338</v>
      </c>
      <c r="B5" t="str">
        <f t="shared" si="0"/>
        <v>Espiga para Cruceta de Madera, L=8" Rosca 1-3/8", Φ = 3/4"</v>
      </c>
      <c r="C5" t="s">
        <v>3</v>
      </c>
      <c r="D5">
        <v>1</v>
      </c>
      <c r="E5">
        <v>1</v>
      </c>
    </row>
    <row r="6" spans="1:5" x14ac:dyDescent="0.25">
      <c r="A6" t="s">
        <v>337</v>
      </c>
      <c r="B6" t="str">
        <f t="shared" si="0"/>
        <v>Espiga para Cruceta de Madera, L=6" Rosca 1", Φ = 3/4"</v>
      </c>
      <c r="C6" t="s">
        <v>3</v>
      </c>
      <c r="D6">
        <v>1</v>
      </c>
      <c r="E6">
        <v>1</v>
      </c>
    </row>
    <row r="7" spans="1:5" x14ac:dyDescent="0.25">
      <c r="A7" t="s">
        <v>4</v>
      </c>
      <c r="B7" t="str">
        <f t="shared" si="0"/>
        <v>Aislador de Espiga ANSI C 56-3</v>
      </c>
      <c r="C7" t="s">
        <v>3</v>
      </c>
      <c r="D7">
        <v>3</v>
      </c>
      <c r="E7">
        <v>3</v>
      </c>
    </row>
    <row r="8" spans="1:5" x14ac:dyDescent="0.25">
      <c r="A8" t="s">
        <v>336</v>
      </c>
      <c r="B8" t="str">
        <f t="shared" si="0"/>
        <v>Aislador de Espiga ANSI C 55-4</v>
      </c>
      <c r="C8" t="s">
        <v>3</v>
      </c>
      <c r="D8">
        <v>0</v>
      </c>
      <c r="E8">
        <v>3</v>
      </c>
    </row>
    <row r="9" spans="1:5" x14ac:dyDescent="0.25">
      <c r="A9" t="s">
        <v>400</v>
      </c>
      <c r="B9" t="str">
        <f t="shared" si="0"/>
        <v>Crucete de Madera Curada de 4" x 5" x 48"</v>
      </c>
      <c r="C9" t="s">
        <v>3</v>
      </c>
      <c r="D9">
        <v>1</v>
      </c>
      <c r="E9">
        <v>1</v>
      </c>
    </row>
    <row r="10" spans="1:5" x14ac:dyDescent="0.25">
      <c r="A10" t="s">
        <v>5</v>
      </c>
      <c r="B10" t="str">
        <f t="shared" si="0"/>
        <v>Alambre de Amarre N° 6</v>
      </c>
      <c r="C10" t="s">
        <v>1227</v>
      </c>
      <c r="D10">
        <v>15</v>
      </c>
      <c r="E10">
        <v>15</v>
      </c>
    </row>
    <row r="11" spans="1:5" x14ac:dyDescent="0.25">
      <c r="A11" t="s">
        <v>341</v>
      </c>
      <c r="B11" t="str">
        <f t="shared" si="0"/>
        <v>Puntal Angular de 60", 1-3/4" x 1-3/4" x 3/16"</v>
      </c>
      <c r="C11" t="s">
        <v>3</v>
      </c>
      <c r="D11">
        <v>1</v>
      </c>
      <c r="E11">
        <v>1</v>
      </c>
    </row>
    <row r="12" spans="1:5" x14ac:dyDescent="0.25">
      <c r="A12" t="s">
        <v>1174</v>
      </c>
      <c r="B12" t="str">
        <f t="shared" si="0"/>
        <v>Perno de Máquina de 1/2" x 10"</v>
      </c>
      <c r="C12" t="s">
        <v>3</v>
      </c>
      <c r="D12">
        <v>2</v>
      </c>
      <c r="E12">
        <v>2</v>
      </c>
    </row>
    <row r="13" spans="1:5" x14ac:dyDescent="0.25">
      <c r="A13" t="s">
        <v>376</v>
      </c>
      <c r="B13" t="str">
        <f t="shared" si="0"/>
        <v>Aislador de Suspensión ANSI C 52-9</v>
      </c>
      <c r="C13" t="s">
        <v>3</v>
      </c>
      <c r="D13">
        <v>18</v>
      </c>
      <c r="E13">
        <v>12</v>
      </c>
    </row>
    <row r="14" spans="1:5" x14ac:dyDescent="0.25">
      <c r="A14" t="s">
        <v>335</v>
      </c>
      <c r="B14" t="str">
        <f t="shared" si="0"/>
        <v>Grapa Terminal tipo Recto para Conductor (1/0 - 4/0)</v>
      </c>
      <c r="C14" t="s">
        <v>3</v>
      </c>
      <c r="D14">
        <v>6</v>
      </c>
      <c r="E14">
        <v>6</v>
      </c>
    </row>
    <row r="15" spans="1:5" x14ac:dyDescent="0.25">
      <c r="A15" t="s">
        <v>389</v>
      </c>
      <c r="B15" t="str">
        <f t="shared" si="0"/>
        <v>Conector de Compresión YC 25A25 (1/0-1/0)</v>
      </c>
      <c r="C15" t="s">
        <v>3</v>
      </c>
      <c r="D15">
        <v>3</v>
      </c>
      <c r="E15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F84944-433E-4EE7-905C-4327CDD0B814}">
          <x14:formula1>
            <xm:f>Materiales!$B$2:$B$259</xm:f>
          </x14:formula1>
          <xm:sqref>A2</xm:sqref>
        </x14:dataValidation>
      </x14:dataValidations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2157-E180-423D-93CE-B01A8CE73973}">
  <sheetPr codeName="Hoja82"/>
  <dimension ref="A1:E16"/>
  <sheetViews>
    <sheetView workbookViewId="0">
      <selection activeCell="D4" sqref="D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376</v>
      </c>
      <c r="B3" t="str">
        <f t="shared" si="0"/>
        <v>Aislador de Suspensión ANSI C 52-9</v>
      </c>
      <c r="C3" t="s">
        <v>3</v>
      </c>
      <c r="D3">
        <v>18</v>
      </c>
      <c r="E3">
        <v>12</v>
      </c>
    </row>
    <row r="4" spans="1:5" x14ac:dyDescent="0.25">
      <c r="A4" t="s">
        <v>335</v>
      </c>
      <c r="B4" t="str">
        <f t="shared" si="0"/>
        <v>Grapa Terminal tipo Recto para Conductor (1/0 - 4/0)</v>
      </c>
      <c r="C4" t="s">
        <v>3</v>
      </c>
      <c r="D4">
        <v>6</v>
      </c>
      <c r="E4">
        <v>6</v>
      </c>
    </row>
    <row r="5" spans="1:5" x14ac:dyDescent="0.25">
      <c r="A5" t="s">
        <v>333</v>
      </c>
      <c r="B5" t="str">
        <f t="shared" si="0"/>
        <v>Tuerca de Ojo de 5/8"</v>
      </c>
      <c r="C5" t="s">
        <v>3</v>
      </c>
      <c r="D5">
        <v>6</v>
      </c>
      <c r="E5">
        <v>6</v>
      </c>
    </row>
    <row r="6" spans="1:5" x14ac:dyDescent="0.25">
      <c r="A6" t="s">
        <v>5</v>
      </c>
      <c r="B6" t="str">
        <f t="shared" si="0"/>
        <v>Alambre de Amarre N° 6</v>
      </c>
      <c r="C6" t="s">
        <v>1227</v>
      </c>
      <c r="D6">
        <v>15</v>
      </c>
      <c r="E6">
        <v>15</v>
      </c>
    </row>
    <row r="7" spans="1:5" x14ac:dyDescent="0.25">
      <c r="A7" t="s">
        <v>4</v>
      </c>
      <c r="B7" t="str">
        <f t="shared" si="0"/>
        <v>Aislador de Espiga ANSI C 56-3</v>
      </c>
      <c r="C7" t="s">
        <v>3</v>
      </c>
      <c r="D7">
        <v>3</v>
      </c>
      <c r="E7">
        <v>3</v>
      </c>
    </row>
    <row r="8" spans="1:5" x14ac:dyDescent="0.25">
      <c r="A8" t="s">
        <v>336</v>
      </c>
      <c r="B8" t="str">
        <f t="shared" si="0"/>
        <v>Aislador de Espiga ANSI C 55-4</v>
      </c>
      <c r="C8" t="s">
        <v>3</v>
      </c>
      <c r="D8">
        <v>0</v>
      </c>
      <c r="E8">
        <v>3</v>
      </c>
    </row>
    <row r="9" spans="1:5" x14ac:dyDescent="0.25">
      <c r="A9" t="s">
        <v>340</v>
      </c>
      <c r="B9" t="str">
        <f t="shared" si="0"/>
        <v>Perno de Máquina de 5/8" x 8"</v>
      </c>
      <c r="C9" t="s">
        <v>3</v>
      </c>
      <c r="D9">
        <v>2</v>
      </c>
      <c r="E9">
        <v>2</v>
      </c>
    </row>
    <row r="10" spans="1:5" x14ac:dyDescent="0.25">
      <c r="A10" t="s">
        <v>339</v>
      </c>
      <c r="B10" t="str">
        <f t="shared" si="0"/>
        <v>Crucete de Madera Curada de 4" x 5" x 96" /Voladizo</v>
      </c>
      <c r="C10" t="s">
        <v>3</v>
      </c>
      <c r="D10">
        <v>2</v>
      </c>
      <c r="E10">
        <v>2</v>
      </c>
    </row>
    <row r="11" spans="1:5" x14ac:dyDescent="0.25">
      <c r="A11" t="s">
        <v>341</v>
      </c>
      <c r="B11" t="str">
        <f t="shared" si="0"/>
        <v>Puntal Angular de 60", 1-3/4" x 1-3/4" x 3/16"</v>
      </c>
      <c r="C11" t="s">
        <v>3</v>
      </c>
      <c r="D11">
        <v>1</v>
      </c>
      <c r="E11">
        <v>1</v>
      </c>
    </row>
    <row r="12" spans="1:5" x14ac:dyDescent="0.25">
      <c r="A12" t="s">
        <v>1174</v>
      </c>
      <c r="B12" t="str">
        <f t="shared" si="0"/>
        <v>Perno de Máquina de 1/2" x 10"</v>
      </c>
      <c r="C12" t="s">
        <v>3</v>
      </c>
      <c r="D12">
        <v>1</v>
      </c>
      <c r="E12">
        <v>1</v>
      </c>
    </row>
    <row r="13" spans="1:5" x14ac:dyDescent="0.25">
      <c r="A13" t="s">
        <v>419</v>
      </c>
      <c r="B13" t="str">
        <f t="shared" si="0"/>
        <v>Perno de Rosca Corrida 5/8" x 20"</v>
      </c>
      <c r="C13" t="s">
        <v>3</v>
      </c>
      <c r="D13">
        <v>2</v>
      </c>
      <c r="E13">
        <v>2</v>
      </c>
    </row>
    <row r="14" spans="1:5" x14ac:dyDescent="0.25">
      <c r="A14" t="s">
        <v>337</v>
      </c>
      <c r="B14" t="str">
        <f t="shared" si="0"/>
        <v>Espiga para Cruceta de Madera, L=6" Rosca 1", Φ = 3/4"</v>
      </c>
      <c r="C14" t="s">
        <v>3</v>
      </c>
      <c r="D14">
        <v>3</v>
      </c>
      <c r="E14">
        <v>3</v>
      </c>
    </row>
    <row r="15" spans="1:5" x14ac:dyDescent="0.25">
      <c r="A15" t="s">
        <v>338</v>
      </c>
      <c r="B15" t="str">
        <f t="shared" si="0"/>
        <v>Espiga para Cruceta de Madera, L=8" Rosca 1-3/8", Φ = 3/4"</v>
      </c>
      <c r="C15" t="s">
        <v>3</v>
      </c>
      <c r="D15">
        <v>3</v>
      </c>
      <c r="E15">
        <v>3</v>
      </c>
    </row>
    <row r="16" spans="1:5" x14ac:dyDescent="0.25">
      <c r="A16" t="s">
        <v>389</v>
      </c>
      <c r="B16" t="str">
        <f t="shared" si="0"/>
        <v>Conector de Compresión YC 25A25 (1/0-1/0)</v>
      </c>
      <c r="C16" t="s">
        <v>3</v>
      </c>
      <c r="D16">
        <v>2</v>
      </c>
      <c r="E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695246-2CC7-4BE9-A1F4-BC2744B01F65}">
          <x14:formula1>
            <xm:f>Materiales!$B$2:$B$259</xm:f>
          </x14:formula1>
          <xm:sqref>A2</xm:sqref>
        </x14:dataValidation>
      </x14:dataValidation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8BDD-E346-4469-98E0-07EC2979DD53}">
  <sheetPr codeName="Hoja199"/>
  <dimension ref="A1:E16"/>
  <sheetViews>
    <sheetView workbookViewId="0">
      <selection activeCell="A16" sqref="A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5" si="0">VLOOKUP(A2,tmat,2,FALSE)</f>
        <v>Aislador de Espiga ANSI C 55-4</v>
      </c>
      <c r="C2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2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1227</v>
      </c>
      <c r="D4">
        <v>10</v>
      </c>
      <c r="E4">
        <v>10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20</v>
      </c>
      <c r="E5">
        <v>20</v>
      </c>
    </row>
    <row r="6" spans="1:5" x14ac:dyDescent="0.25">
      <c r="A6" t="s">
        <v>389</v>
      </c>
      <c r="B6" t="str">
        <f t="shared" si="0"/>
        <v>Conector de Compresión YC 25A25 (1/0-1/0)</v>
      </c>
      <c r="C6" t="s">
        <v>3</v>
      </c>
      <c r="D6">
        <v>3</v>
      </c>
      <c r="E6">
        <v>3</v>
      </c>
    </row>
    <row r="7" spans="1:5" x14ac:dyDescent="0.25">
      <c r="A7" t="s">
        <v>401</v>
      </c>
      <c r="B7" t="str">
        <f t="shared" si="0"/>
        <v>Crucete de Madera Curada de 4" x 5" x 96"</v>
      </c>
      <c r="C7" t="s">
        <v>3</v>
      </c>
      <c r="D7">
        <v>4</v>
      </c>
      <c r="E7">
        <v>4</v>
      </c>
    </row>
    <row r="8" spans="1:5" x14ac:dyDescent="0.25">
      <c r="A8" t="s">
        <v>337</v>
      </c>
      <c r="B8" t="str">
        <f t="shared" si="0"/>
        <v>Espiga para Cruceta de Madera, L=6" Rosca 1", Φ = 3/4"</v>
      </c>
      <c r="C8" t="s">
        <v>3</v>
      </c>
      <c r="D8">
        <v>0</v>
      </c>
      <c r="E8">
        <v>2</v>
      </c>
    </row>
    <row r="9" spans="1:5" x14ac:dyDescent="0.25">
      <c r="A9" t="s">
        <v>338</v>
      </c>
      <c r="B9" t="str">
        <f t="shared" si="0"/>
        <v>Espiga para Cruceta de Madera, L=8" Rosca 1-3/8", Φ = 3/4"</v>
      </c>
      <c r="C9" t="s">
        <v>3</v>
      </c>
      <c r="D9">
        <v>2</v>
      </c>
      <c r="E9">
        <v>0</v>
      </c>
    </row>
    <row r="10" spans="1:5" x14ac:dyDescent="0.25">
      <c r="A10" t="s">
        <v>335</v>
      </c>
      <c r="B10" t="str">
        <f t="shared" si="0"/>
        <v>Grapa Terminal tipo Recto para Conductor (1/0 - 4/0)</v>
      </c>
      <c r="C10" t="s">
        <v>3</v>
      </c>
      <c r="D10">
        <v>6</v>
      </c>
      <c r="E10">
        <v>6</v>
      </c>
    </row>
    <row r="11" spans="1:5" x14ac:dyDescent="0.25">
      <c r="A11" t="s">
        <v>346</v>
      </c>
      <c r="B11" t="str">
        <f t="shared" si="0"/>
        <v>Perno de Carroceria 3/8" x 5"</v>
      </c>
      <c r="C11" t="s">
        <v>3</v>
      </c>
      <c r="D11">
        <v>8</v>
      </c>
      <c r="E11">
        <v>8</v>
      </c>
    </row>
    <row r="12" spans="1:5" x14ac:dyDescent="0.25">
      <c r="A12" t="s">
        <v>419</v>
      </c>
      <c r="B12" t="str">
        <f t="shared" si="0"/>
        <v>Perno de Rosca Corrida 5/8" x 20"</v>
      </c>
      <c r="C12" t="s">
        <v>3</v>
      </c>
      <c r="D12">
        <v>6</v>
      </c>
      <c r="E12">
        <v>6</v>
      </c>
    </row>
    <row r="13" spans="1:5" x14ac:dyDescent="0.25">
      <c r="A13" t="s">
        <v>347</v>
      </c>
      <c r="B13" t="str">
        <f t="shared" si="0"/>
        <v>Tirante de Pletina de 1/4" x 1-1/4" x 30"</v>
      </c>
      <c r="C13" t="s">
        <v>3</v>
      </c>
      <c r="D13">
        <v>8</v>
      </c>
      <c r="E13">
        <v>8</v>
      </c>
    </row>
    <row r="14" spans="1:5" x14ac:dyDescent="0.25">
      <c r="A14" t="s">
        <v>1174</v>
      </c>
      <c r="B14" t="str">
        <f t="shared" si="0"/>
        <v>Perno de Máquina de 1/2" x 10"</v>
      </c>
      <c r="C14" t="s">
        <v>3</v>
      </c>
      <c r="D14">
        <v>2</v>
      </c>
      <c r="E14">
        <v>2</v>
      </c>
    </row>
    <row r="15" spans="1:5" x14ac:dyDescent="0.25">
      <c r="A15" t="s">
        <v>333</v>
      </c>
      <c r="B15" t="str">
        <f t="shared" si="0"/>
        <v>Tuerca de Ojo de 5/8"</v>
      </c>
      <c r="C15" t="s">
        <v>3</v>
      </c>
      <c r="D15">
        <v>6</v>
      </c>
      <c r="E15">
        <v>6</v>
      </c>
    </row>
    <row r="16" spans="1:5" x14ac:dyDescent="0.25">
      <c r="A16" t="s">
        <v>376</v>
      </c>
      <c r="B16" t="str">
        <f t="shared" ref="B16" si="1">VLOOKUP(A16,tmat,2,FALSE)</f>
        <v>Aislador de Suspensión ANSI C 52-9</v>
      </c>
      <c r="C16" t="s">
        <v>3</v>
      </c>
      <c r="D16">
        <v>18</v>
      </c>
      <c r="E16">
        <v>12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01E703-2D8F-496A-9AA7-66C1281EC7F7}">
          <x14:formula1>
            <xm:f>Materiales!$B$2:$B$259</xm:f>
          </x14:formula1>
          <xm:sqref>A2:A15</xm:sqref>
        </x14:dataValidation>
      </x14:dataValidation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7C57-2676-4E07-B1D6-CFB787F5723B}">
  <sheetPr codeName="Hoja83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t="s">
        <v>3</v>
      </c>
      <c r="D2">
        <v>8</v>
      </c>
      <c r="E2">
        <v>8</v>
      </c>
    </row>
    <row r="3" spans="1:5" x14ac:dyDescent="0.25">
      <c r="A3" t="s">
        <v>346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25">
      <c r="A5" t="s">
        <v>401</v>
      </c>
      <c r="B5" t="str">
        <f t="shared" si="0"/>
        <v>Crucete de Madera Curada de 4" x 5" x 96"</v>
      </c>
      <c r="C5" t="s">
        <v>3</v>
      </c>
      <c r="D5">
        <v>4</v>
      </c>
      <c r="E5">
        <v>4</v>
      </c>
    </row>
    <row r="6" spans="1:5" x14ac:dyDescent="0.25">
      <c r="A6" t="s">
        <v>347</v>
      </c>
      <c r="B6" t="str">
        <f t="shared" si="0"/>
        <v>Tirante de Pletina de 1/4" x 1-1/4" x 30"</v>
      </c>
      <c r="C6" t="s">
        <v>3</v>
      </c>
      <c r="D6">
        <v>8</v>
      </c>
      <c r="E6">
        <v>8</v>
      </c>
    </row>
    <row r="7" spans="1:5" x14ac:dyDescent="0.25">
      <c r="A7" t="s">
        <v>1174</v>
      </c>
      <c r="B7" t="str">
        <f t="shared" si="0"/>
        <v>Perno de Máquina de 1/2" x 10"</v>
      </c>
      <c r="C7" t="s">
        <v>3</v>
      </c>
      <c r="D7">
        <v>2</v>
      </c>
      <c r="E7">
        <v>2</v>
      </c>
    </row>
    <row r="8" spans="1:5" x14ac:dyDescent="0.25">
      <c r="A8" t="s">
        <v>333</v>
      </c>
      <c r="B8" t="str">
        <f t="shared" si="0"/>
        <v>Tuerca de Ojo de 5/8"</v>
      </c>
      <c r="C8" t="s">
        <v>3</v>
      </c>
      <c r="D8">
        <v>7</v>
      </c>
      <c r="E8">
        <v>7</v>
      </c>
    </row>
    <row r="9" spans="1:5" x14ac:dyDescent="0.25">
      <c r="A9" t="s">
        <v>5</v>
      </c>
      <c r="B9" t="str">
        <f t="shared" si="0"/>
        <v>Alambre de Amarre N° 6</v>
      </c>
      <c r="C9" t="s">
        <v>1227</v>
      </c>
      <c r="D9">
        <v>20</v>
      </c>
      <c r="E9">
        <v>20</v>
      </c>
    </row>
    <row r="10" spans="1:5" x14ac:dyDescent="0.25">
      <c r="A10" t="s">
        <v>337</v>
      </c>
      <c r="B10" t="str">
        <f t="shared" si="0"/>
        <v>Espiga para Cruceta de Madera, L=6" Rosca 1", Φ = 3/4"</v>
      </c>
      <c r="C10" t="s">
        <v>3</v>
      </c>
      <c r="D10">
        <v>2</v>
      </c>
      <c r="E10">
        <v>2</v>
      </c>
    </row>
    <row r="11" spans="1:5" x14ac:dyDescent="0.25">
      <c r="A11" t="s">
        <v>338</v>
      </c>
      <c r="B11" t="str">
        <f t="shared" si="0"/>
        <v>Espiga para Cruceta de Madera, L=8" Rosca 1-3/8", Φ = 3/4"</v>
      </c>
      <c r="C11" t="s">
        <v>3</v>
      </c>
      <c r="D11">
        <v>6</v>
      </c>
      <c r="E11">
        <v>6</v>
      </c>
    </row>
    <row r="12" spans="1:5" x14ac:dyDescent="0.25">
      <c r="A12" t="s">
        <v>419</v>
      </c>
      <c r="B12" t="str">
        <f t="shared" si="0"/>
        <v>Perno de Rosca Corrida 5/8" x 20"</v>
      </c>
      <c r="C12" t="s">
        <v>3</v>
      </c>
      <c r="D12">
        <v>4</v>
      </c>
      <c r="E12">
        <v>4</v>
      </c>
    </row>
    <row r="13" spans="1:5" x14ac:dyDescent="0.25">
      <c r="A13" t="s">
        <v>335</v>
      </c>
      <c r="B13" t="str">
        <f t="shared" si="0"/>
        <v>Grapa Terminal tipo Recto para Conductor (1/0 - 4/0)</v>
      </c>
      <c r="C13" t="s">
        <v>3</v>
      </c>
      <c r="D13">
        <v>7</v>
      </c>
      <c r="E13">
        <v>7</v>
      </c>
    </row>
    <row r="14" spans="1:5" x14ac:dyDescent="0.25">
      <c r="A14" t="s">
        <v>4</v>
      </c>
      <c r="B14" t="str">
        <f t="shared" si="0"/>
        <v>Aislador de Espiga ANSI C 56-3</v>
      </c>
      <c r="C14" t="s">
        <v>3</v>
      </c>
      <c r="D14">
        <v>2</v>
      </c>
      <c r="E14">
        <v>2</v>
      </c>
    </row>
    <row r="15" spans="1:5" x14ac:dyDescent="0.25">
      <c r="A15" t="s">
        <v>336</v>
      </c>
      <c r="B15" t="str">
        <f t="shared" si="0"/>
        <v>Aislador de Espiga ANSI C 55-4</v>
      </c>
      <c r="C15" t="s">
        <v>3</v>
      </c>
      <c r="D15">
        <v>0</v>
      </c>
      <c r="E15">
        <v>2</v>
      </c>
    </row>
    <row r="16" spans="1:5" x14ac:dyDescent="0.25">
      <c r="A16" t="s">
        <v>389</v>
      </c>
      <c r="B16" t="str">
        <f t="shared" si="0"/>
        <v>Conector de Compresión YC 25A25 (1/0-1/0)</v>
      </c>
      <c r="C16" t="s">
        <v>3</v>
      </c>
      <c r="D16">
        <v>4</v>
      </c>
      <c r="E16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DE980B-D88F-4B6D-B50A-8E4853A1FB71}">
          <x14:formula1>
            <xm:f>Materiales!$B$2:$B$259</xm:f>
          </x14:formula1>
          <xm:sqref>A2</xm:sqref>
        </x14:dataValidation>
      </x14:dataValidation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29FC-E6B7-4B4C-9163-6F10F3002717}">
  <sheetPr codeName="Hoja84"/>
  <dimension ref="A1:E16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t="s">
        <v>3</v>
      </c>
      <c r="D2">
        <v>8</v>
      </c>
      <c r="E2">
        <v>8</v>
      </c>
    </row>
    <row r="3" spans="1:5" x14ac:dyDescent="0.25">
      <c r="A3" t="s">
        <v>346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25">
      <c r="A5" t="s">
        <v>401</v>
      </c>
      <c r="B5" t="str">
        <f t="shared" si="0"/>
        <v>Crucete de Madera Curada de 4" x 5" x 96"</v>
      </c>
      <c r="C5" t="s">
        <v>3</v>
      </c>
      <c r="D5">
        <v>4</v>
      </c>
      <c r="E5">
        <v>4</v>
      </c>
    </row>
    <row r="6" spans="1:5" x14ac:dyDescent="0.25">
      <c r="A6" t="s">
        <v>347</v>
      </c>
      <c r="B6" t="str">
        <f t="shared" si="0"/>
        <v>Tirante de Pletina de 1/4" x 1-1/4" x 30"</v>
      </c>
      <c r="C6" t="s">
        <v>3</v>
      </c>
      <c r="D6">
        <v>8</v>
      </c>
      <c r="E6">
        <v>8</v>
      </c>
    </row>
    <row r="7" spans="1:5" x14ac:dyDescent="0.25">
      <c r="A7" t="s">
        <v>1174</v>
      </c>
      <c r="B7" t="str">
        <f t="shared" si="0"/>
        <v>Perno de Máquina de 1/2" x 10"</v>
      </c>
      <c r="C7" t="s">
        <v>3</v>
      </c>
      <c r="D7">
        <v>2</v>
      </c>
      <c r="E7">
        <v>2</v>
      </c>
    </row>
    <row r="8" spans="1:5" x14ac:dyDescent="0.25">
      <c r="A8" t="s">
        <v>333</v>
      </c>
      <c r="B8" t="str">
        <f t="shared" si="0"/>
        <v>Tuerca de Ojo de 5/8"</v>
      </c>
      <c r="C8" t="s">
        <v>3</v>
      </c>
      <c r="D8">
        <v>8</v>
      </c>
      <c r="E8">
        <v>8</v>
      </c>
    </row>
    <row r="9" spans="1:5" x14ac:dyDescent="0.25">
      <c r="A9" t="s">
        <v>5</v>
      </c>
      <c r="B9" t="str">
        <f t="shared" si="0"/>
        <v>Alambre de Amarre N° 6</v>
      </c>
      <c r="C9" t="s">
        <v>1227</v>
      </c>
      <c r="D9">
        <v>20</v>
      </c>
      <c r="E9">
        <v>20</v>
      </c>
    </row>
    <row r="10" spans="1:5" x14ac:dyDescent="0.25">
      <c r="A10" t="s">
        <v>337</v>
      </c>
      <c r="B10" t="str">
        <f t="shared" si="0"/>
        <v>Espiga para Cruceta de Madera, L=6" Rosca 1", Φ = 3/4"</v>
      </c>
      <c r="C10" t="s">
        <v>3</v>
      </c>
      <c r="D10">
        <v>2</v>
      </c>
      <c r="E10">
        <v>2</v>
      </c>
    </row>
    <row r="11" spans="1:5" x14ac:dyDescent="0.25">
      <c r="A11" t="s">
        <v>338</v>
      </c>
      <c r="B11" t="str">
        <f t="shared" si="0"/>
        <v>Espiga para Cruceta de Madera, L=8" Rosca 1-3/8", Φ = 3/4"</v>
      </c>
      <c r="C11" t="s">
        <v>3</v>
      </c>
      <c r="D11">
        <v>8</v>
      </c>
      <c r="E11">
        <v>8</v>
      </c>
    </row>
    <row r="12" spans="1:5" x14ac:dyDescent="0.25">
      <c r="A12" t="s">
        <v>419</v>
      </c>
      <c r="B12" t="str">
        <f t="shared" si="0"/>
        <v>Perno de Rosca Corrida 5/8" x 20"</v>
      </c>
      <c r="C12" t="s">
        <v>3</v>
      </c>
      <c r="D12">
        <v>4</v>
      </c>
      <c r="E12">
        <v>4</v>
      </c>
    </row>
    <row r="13" spans="1:5" x14ac:dyDescent="0.25">
      <c r="A13" t="s">
        <v>335</v>
      </c>
      <c r="B13" t="str">
        <f t="shared" si="0"/>
        <v>Grapa Terminal tipo Recto para Conductor (1/0 - 4/0)</v>
      </c>
      <c r="C13" t="s">
        <v>3</v>
      </c>
      <c r="D13">
        <v>8</v>
      </c>
      <c r="E13">
        <v>8</v>
      </c>
    </row>
    <row r="14" spans="1:5" x14ac:dyDescent="0.25">
      <c r="A14" t="s">
        <v>4</v>
      </c>
      <c r="B14" t="str">
        <f t="shared" si="0"/>
        <v>Aislador de Espiga ANSI C 56-3</v>
      </c>
      <c r="C14" t="s">
        <v>3</v>
      </c>
      <c r="D14">
        <v>2</v>
      </c>
      <c r="E14">
        <v>2</v>
      </c>
    </row>
    <row r="15" spans="1:5" x14ac:dyDescent="0.25">
      <c r="A15" t="s">
        <v>336</v>
      </c>
      <c r="B15" t="str">
        <f t="shared" si="0"/>
        <v>Aislador de Espiga ANSI C 55-4</v>
      </c>
      <c r="C15" t="s">
        <v>3</v>
      </c>
      <c r="D15">
        <v>0</v>
      </c>
      <c r="E15">
        <v>2</v>
      </c>
    </row>
    <row r="16" spans="1:5" x14ac:dyDescent="0.25">
      <c r="A16" t="s">
        <v>389</v>
      </c>
      <c r="B16" t="str">
        <f t="shared" si="0"/>
        <v>Conector de Compresión YC 25A25 (1/0-1/0)</v>
      </c>
      <c r="C16" t="s">
        <v>3</v>
      </c>
      <c r="D16">
        <v>4</v>
      </c>
      <c r="E16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FB77F8-4483-47FA-8D82-EA7E44D7B4C0}">
          <x14:formula1>
            <xm:f>Materiales!$B$2:$B$259</xm:f>
          </x14:formula1>
          <xm:sqref>A2</xm:sqref>
        </x14:dataValidation>
      </x14:dataValidations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C591-7214-4D1F-86C1-5796F7CC186D}">
  <sheetPr codeName="Hoja85"/>
  <dimension ref="A1:E21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9</v>
      </c>
      <c r="E4">
        <v>9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35</v>
      </c>
      <c r="E5">
        <v>35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401</v>
      </c>
      <c r="B8" t="str">
        <f t="shared" si="0"/>
        <v>Crucete de Madera Curada de 4" x 5" x 96"</v>
      </c>
      <c r="C8" t="s">
        <v>3</v>
      </c>
      <c r="D8">
        <v>3</v>
      </c>
      <c r="E8">
        <v>3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338</v>
      </c>
      <c r="B10" t="str">
        <f t="shared" si="0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25">
      <c r="A11" t="s">
        <v>7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25">
      <c r="A12" t="s">
        <v>8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25">
      <c r="A13" t="s">
        <v>335</v>
      </c>
      <c r="B13" t="str">
        <f t="shared" si="0"/>
        <v>Grapa Terminal tipo Recto para Conductor (1/0 - 4/0)</v>
      </c>
      <c r="C13" t="s">
        <v>3</v>
      </c>
      <c r="D13">
        <v>3</v>
      </c>
      <c r="E13">
        <v>3</v>
      </c>
    </row>
    <row r="14" spans="1:5" x14ac:dyDescent="0.25">
      <c r="A14" t="s">
        <v>346</v>
      </c>
      <c r="B14" t="str">
        <f t="shared" si="0"/>
        <v>Perno de Carroceria 3/8" x 5"</v>
      </c>
      <c r="C14" t="s">
        <v>3</v>
      </c>
      <c r="D14">
        <v>6</v>
      </c>
      <c r="E14">
        <v>6</v>
      </c>
    </row>
    <row r="15" spans="1:5" x14ac:dyDescent="0.25">
      <c r="A15" t="s">
        <v>1174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25">
      <c r="A16" t="s">
        <v>9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25">
      <c r="A17" t="s">
        <v>348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25">
      <c r="A18" t="s">
        <v>419</v>
      </c>
      <c r="B18" t="str">
        <f t="shared" si="0"/>
        <v>Perno de Rosca Corrida 5/8" x 20"</v>
      </c>
      <c r="C18" t="s">
        <v>3</v>
      </c>
      <c r="D18">
        <v>3</v>
      </c>
      <c r="E18">
        <v>3</v>
      </c>
    </row>
    <row r="19" spans="1:5" x14ac:dyDescent="0.25">
      <c r="A19" t="s">
        <v>347</v>
      </c>
      <c r="B19" t="str">
        <f t="shared" ref="B19" si="3">VLOOKUP(A19,tmat,2,FALSE)</f>
        <v>Tirante de Pletina de 1/4" x 1-1/4" x 30"</v>
      </c>
      <c r="C19" t="s">
        <v>3</v>
      </c>
      <c r="D19">
        <v>6</v>
      </c>
      <c r="E19">
        <v>6</v>
      </c>
    </row>
    <row r="20" spans="1:5" x14ac:dyDescent="0.25">
      <c r="A20" t="s">
        <v>333</v>
      </c>
      <c r="B20" t="str">
        <f t="shared" ref="B20" si="4">VLOOKUP(A20,tmat,2,FALSE)</f>
        <v>Tuerca de Ojo de 5/8"</v>
      </c>
      <c r="C20" t="s">
        <v>3</v>
      </c>
      <c r="D20">
        <v>3</v>
      </c>
      <c r="E20">
        <v>3</v>
      </c>
    </row>
    <row r="21" spans="1:5" x14ac:dyDescent="0.25">
      <c r="A21" t="s">
        <v>441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719A48-3358-48DE-8871-23ED8D570E37}">
          <x14:formula1>
            <xm:f>Materiales!$B$2:$B$259</xm:f>
          </x14:formula1>
          <xm:sqref>A2:A7</xm:sqref>
        </x14:dataValidation>
      </x14:dataValidations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D0D6-52C0-4964-AD18-8A9CC2EA8132}">
  <sheetPr codeName="Hoja86"/>
  <dimension ref="A1:E21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30</v>
      </c>
      <c r="E5">
        <v>30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6</v>
      </c>
      <c r="E6">
        <v>6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401</v>
      </c>
      <c r="B8" t="str">
        <f t="shared" si="0"/>
        <v>Crucete de Madera Curada de 4" x 5" x 96"</v>
      </c>
      <c r="C8" t="s">
        <v>3</v>
      </c>
      <c r="D8">
        <v>1</v>
      </c>
      <c r="E8">
        <v>1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t="s">
        <v>3</v>
      </c>
      <c r="D9">
        <v>0</v>
      </c>
      <c r="E9">
        <v>2</v>
      </c>
    </row>
    <row r="10" spans="1:5" x14ac:dyDescent="0.25">
      <c r="A10" t="s">
        <v>338</v>
      </c>
      <c r="B10" t="str">
        <f t="shared" si="0"/>
        <v>Espiga para Cruceta de Madera, L=8" Rosca 1-3/8", Φ = 3/4"</v>
      </c>
      <c r="C10" t="s">
        <v>3</v>
      </c>
      <c r="D10">
        <v>2</v>
      </c>
      <c r="E10">
        <v>0</v>
      </c>
    </row>
    <row r="11" spans="1:5" x14ac:dyDescent="0.25">
      <c r="A11" t="s">
        <v>7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25">
      <c r="A12" t="s">
        <v>8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25">
      <c r="A13" t="s">
        <v>335</v>
      </c>
      <c r="B13" t="str">
        <f t="shared" si="0"/>
        <v>Grapa Terminal tipo Recto para Conductor (1/0 - 4/0)</v>
      </c>
      <c r="C13" t="s">
        <v>3</v>
      </c>
      <c r="D13">
        <v>1</v>
      </c>
      <c r="E13">
        <v>1</v>
      </c>
    </row>
    <row r="14" spans="1:5" x14ac:dyDescent="0.25">
      <c r="A14" t="s">
        <v>346</v>
      </c>
      <c r="B14" t="str">
        <f t="shared" si="0"/>
        <v>Perno de Carroceria 3/8" x 5"</v>
      </c>
      <c r="C14" t="s">
        <v>3</v>
      </c>
      <c r="D14">
        <v>2</v>
      </c>
      <c r="E14">
        <v>2</v>
      </c>
    </row>
    <row r="15" spans="1:5" x14ac:dyDescent="0.25">
      <c r="A15" t="s">
        <v>1174</v>
      </c>
      <c r="B15" t="str">
        <f t="shared" si="0"/>
        <v>Perno de Máquina de 1/2" x 10"</v>
      </c>
      <c r="C15" t="s">
        <v>3</v>
      </c>
      <c r="D15">
        <v>1</v>
      </c>
      <c r="E15">
        <v>1</v>
      </c>
    </row>
    <row r="16" spans="1:5" x14ac:dyDescent="0.25">
      <c r="A16" t="s">
        <v>9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25">
      <c r="A17" t="s">
        <v>348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25">
      <c r="A18" t="s">
        <v>334</v>
      </c>
      <c r="B18" t="str">
        <f t="shared" si="0"/>
        <v>Perno de Rosca Corrida 5/8" x 12"</v>
      </c>
      <c r="C18" t="s">
        <v>3</v>
      </c>
      <c r="D18">
        <v>1</v>
      </c>
      <c r="E18">
        <v>1</v>
      </c>
    </row>
    <row r="19" spans="1:5" x14ac:dyDescent="0.25">
      <c r="A19" t="s">
        <v>347</v>
      </c>
      <c r="B19" t="str">
        <f t="shared" ref="B19" si="3">VLOOKUP(A19,tmat,2,FALSE)</f>
        <v>Tirante de Pletina de 1/4" x 1-1/4" x 30"</v>
      </c>
      <c r="C19" t="s">
        <v>3</v>
      </c>
      <c r="D19">
        <v>2</v>
      </c>
      <c r="E19">
        <v>2</v>
      </c>
    </row>
    <row r="20" spans="1:5" x14ac:dyDescent="0.25">
      <c r="A20" t="s">
        <v>333</v>
      </c>
      <c r="B20" t="str">
        <f t="shared" ref="B20" si="4">VLOOKUP(A20,tmat,2,FALSE)</f>
        <v>Tuerca de Ojo de 5/8"</v>
      </c>
      <c r="C20" t="s">
        <v>3</v>
      </c>
      <c r="D20">
        <v>1</v>
      </c>
      <c r="E20">
        <v>1</v>
      </c>
    </row>
    <row r="21" spans="1:5" x14ac:dyDescent="0.25">
      <c r="A21" t="s">
        <v>441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5F5120-F7B6-496D-947C-BD3B8B261713}">
          <x14:formula1>
            <xm:f>Materiales!$B$2:$B$259</xm:f>
          </x14:formula1>
          <xm:sqref>A2:A7</xm:sqref>
        </x14:dataValidation>
      </x14:dataValidation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37E9-5DCF-43FF-832E-444D17DB9114}">
  <sheetPr codeName="Hoja87"/>
  <dimension ref="A1:E21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35</v>
      </c>
      <c r="E5">
        <v>35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2</v>
      </c>
      <c r="E7">
        <v>2</v>
      </c>
    </row>
    <row r="8" spans="1:5" x14ac:dyDescent="0.25">
      <c r="A8" t="s">
        <v>401</v>
      </c>
      <c r="B8" t="str">
        <f t="shared" si="0"/>
        <v>Crucete de Madera Curada de 4" x 5" x 96"</v>
      </c>
      <c r="C8" t="s">
        <v>3</v>
      </c>
      <c r="D8">
        <v>3</v>
      </c>
      <c r="E8">
        <v>3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338</v>
      </c>
      <c r="B10" t="str">
        <f t="shared" si="0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25">
      <c r="A11" t="s">
        <v>7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25">
      <c r="A12" t="s">
        <v>8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25">
      <c r="A13" t="s">
        <v>335</v>
      </c>
      <c r="B13" t="str">
        <f t="shared" si="0"/>
        <v>Grapa Terminal tipo Recto para Conductor (1/0 - 4/0)</v>
      </c>
      <c r="C13" t="s">
        <v>3</v>
      </c>
      <c r="D13">
        <v>2</v>
      </c>
      <c r="E13">
        <v>2</v>
      </c>
    </row>
    <row r="14" spans="1:5" x14ac:dyDescent="0.25">
      <c r="A14" t="s">
        <v>346</v>
      </c>
      <c r="B14" t="str">
        <f t="shared" si="0"/>
        <v>Perno de Carroceria 3/8" x 5"</v>
      </c>
      <c r="C14" t="s">
        <v>3</v>
      </c>
      <c r="D14">
        <v>6</v>
      </c>
      <c r="E14">
        <v>6</v>
      </c>
    </row>
    <row r="15" spans="1:5" x14ac:dyDescent="0.25">
      <c r="A15" t="s">
        <v>1174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25">
      <c r="A16" t="s">
        <v>9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25">
      <c r="A17" t="s">
        <v>348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25">
      <c r="A18" t="s">
        <v>419</v>
      </c>
      <c r="B18" t="str">
        <f t="shared" si="0"/>
        <v>Perno de Rosca Corrida 5/8" x 20"</v>
      </c>
      <c r="C18" t="s">
        <v>3</v>
      </c>
      <c r="D18">
        <v>3</v>
      </c>
      <c r="E18">
        <v>3</v>
      </c>
    </row>
    <row r="19" spans="1:5" x14ac:dyDescent="0.25">
      <c r="A19" t="s">
        <v>347</v>
      </c>
      <c r="B19" t="str">
        <f t="shared" ref="B19" si="3">VLOOKUP(A19,tmat,2,FALSE)</f>
        <v>Tirante de Pletina de 1/4" x 1-1/4" x 30"</v>
      </c>
      <c r="C19" t="s">
        <v>3</v>
      </c>
      <c r="D19">
        <v>6</v>
      </c>
      <c r="E19">
        <v>6</v>
      </c>
    </row>
    <row r="20" spans="1:5" x14ac:dyDescent="0.25">
      <c r="A20" t="s">
        <v>333</v>
      </c>
      <c r="B20" t="str">
        <f t="shared" ref="B20" si="4">VLOOKUP(A20,tmat,2,FALSE)</f>
        <v>Tuerca de Ojo de 5/8"</v>
      </c>
      <c r="C20" t="s">
        <v>3</v>
      </c>
      <c r="D20">
        <v>2</v>
      </c>
      <c r="E20">
        <v>2</v>
      </c>
    </row>
    <row r="21" spans="1:5" x14ac:dyDescent="0.25">
      <c r="A21" t="s">
        <v>441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CC3668-C88C-480C-82C4-8571743D7C7E}">
          <x14:formula1>
            <xm:f>Materiales!$B$2:$B$259</xm:f>
          </x14:formula1>
          <xm:sqref>A2:A7</xm:sqref>
        </x14:dataValidation>
      </x14:dataValidation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717B-4353-41A0-8A45-4F0DB539B78F}">
  <sheetPr codeName="Hoja88"/>
  <dimension ref="A1:E22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7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30</v>
      </c>
      <c r="E5">
        <v>30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13</v>
      </c>
      <c r="E6">
        <v>13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401</v>
      </c>
      <c r="B8" t="str">
        <f t="shared" si="0"/>
        <v>Crucete de Madera Curada de 4" x 5" x 96"</v>
      </c>
      <c r="C8" t="s">
        <v>3</v>
      </c>
      <c r="D8">
        <v>2</v>
      </c>
      <c r="E8">
        <v>2</v>
      </c>
    </row>
    <row r="9" spans="1:5" x14ac:dyDescent="0.25">
      <c r="A9" t="s">
        <v>339</v>
      </c>
      <c r="B9" t="str">
        <f t="shared" ref="B9" si="2">VLOOKUP(A9,tmat,2,FALSE)</f>
        <v>Crucete de Madera Curada de 4" x 5" x 96" /Voladizo</v>
      </c>
      <c r="C9" t="s">
        <v>3</v>
      </c>
      <c r="D9">
        <v>1</v>
      </c>
      <c r="E9">
        <v>1</v>
      </c>
    </row>
    <row r="10" spans="1:5" x14ac:dyDescent="0.25">
      <c r="A10" t="s">
        <v>337</v>
      </c>
      <c r="B10" t="str">
        <f t="shared" si="0"/>
        <v>Espiga para Cruceta de Madera, L=6" Rosca 1", Φ = 3/4"</v>
      </c>
      <c r="C10" t="s">
        <v>3</v>
      </c>
      <c r="D10">
        <v>0</v>
      </c>
      <c r="E10">
        <v>3</v>
      </c>
    </row>
    <row r="11" spans="1:5" x14ac:dyDescent="0.25">
      <c r="A11" t="s">
        <v>338</v>
      </c>
      <c r="B11" t="str">
        <f t="shared" ref="B11" si="3">VLOOKUP(A11,tmat,2,FALSE)</f>
        <v>Espiga para Cruceta de Madera, L=8" Rosca 1-3/8", Φ = 3/4"</v>
      </c>
      <c r="C11" t="s">
        <v>3</v>
      </c>
      <c r="D11">
        <v>3</v>
      </c>
      <c r="E11">
        <v>0</v>
      </c>
    </row>
    <row r="12" spans="1:5" x14ac:dyDescent="0.25">
      <c r="A12" t="s">
        <v>335</v>
      </c>
      <c r="B12" t="str">
        <f t="shared" si="0"/>
        <v>Grapa Terminal tipo Recto para Conductor (1/0 - 4/0)</v>
      </c>
      <c r="C12" t="s">
        <v>3</v>
      </c>
      <c r="D12">
        <v>3</v>
      </c>
      <c r="E12">
        <v>3</v>
      </c>
    </row>
    <row r="13" spans="1:5" x14ac:dyDescent="0.25">
      <c r="A13" t="s">
        <v>340</v>
      </c>
      <c r="B13" t="str">
        <f t="shared" ref="B13" si="4">VLOOKUP(A13,tmat,2,FALSE)</f>
        <v>Perno de Máquina de 5/8" x 8"</v>
      </c>
      <c r="C13" t="s">
        <v>3</v>
      </c>
      <c r="D13">
        <v>1</v>
      </c>
      <c r="E13">
        <v>1</v>
      </c>
    </row>
    <row r="14" spans="1:5" x14ac:dyDescent="0.25">
      <c r="A14" t="s">
        <v>346</v>
      </c>
      <c r="B14" t="str">
        <f t="shared" si="0"/>
        <v>Perno de Carroceria 3/8" x 5"</v>
      </c>
      <c r="C14" t="s">
        <v>3</v>
      </c>
      <c r="D14">
        <v>4</v>
      </c>
      <c r="E14">
        <v>4</v>
      </c>
    </row>
    <row r="15" spans="1:5" x14ac:dyDescent="0.25">
      <c r="A15" t="s">
        <v>348</v>
      </c>
      <c r="B15" t="str">
        <f t="shared" si="0"/>
        <v>Perno de Máquina de 5/8" x 14"</v>
      </c>
      <c r="C15" t="s">
        <v>3</v>
      </c>
      <c r="D15">
        <v>1</v>
      </c>
      <c r="E15">
        <v>1</v>
      </c>
    </row>
    <row r="16" spans="1:5" x14ac:dyDescent="0.25">
      <c r="A16" t="s">
        <v>9</v>
      </c>
      <c r="B16" t="str">
        <f t="shared" ref="B16" si="5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25">
      <c r="A17" t="s">
        <v>419</v>
      </c>
      <c r="B17" t="str">
        <f t="shared" si="0"/>
        <v>Perno de Rosca Corrida 5/8" x 20"</v>
      </c>
      <c r="C17" t="s">
        <v>3</v>
      </c>
      <c r="D17">
        <v>3</v>
      </c>
      <c r="E17">
        <v>3</v>
      </c>
    </row>
    <row r="18" spans="1:5" x14ac:dyDescent="0.25">
      <c r="A18" t="s">
        <v>341</v>
      </c>
      <c r="B18" t="str">
        <f t="shared" ref="B18" si="6">VLOOKUP(A18,tmat,2,FALSE)</f>
        <v>Puntal Angular de 60", 1-3/4" x 1-3/4" x 3/16"</v>
      </c>
      <c r="C18" t="s">
        <v>3</v>
      </c>
      <c r="D18">
        <v>1</v>
      </c>
      <c r="E18">
        <v>1</v>
      </c>
    </row>
    <row r="19" spans="1:5" x14ac:dyDescent="0.25">
      <c r="A19" t="s">
        <v>347</v>
      </c>
      <c r="B19" t="str">
        <f t="shared" ref="B19" si="7">VLOOKUP(A19,tmat,2,FALSE)</f>
        <v>Tirante de Pletina de 1/4" x 1-1/4" x 30"</v>
      </c>
      <c r="C19" t="s">
        <v>3</v>
      </c>
      <c r="D19">
        <v>4</v>
      </c>
      <c r="E19">
        <v>4</v>
      </c>
    </row>
    <row r="20" spans="1:5" x14ac:dyDescent="0.25">
      <c r="A20" t="s">
        <v>1174</v>
      </c>
      <c r="B20" t="str">
        <f t="shared" ref="B20" si="8">VLOOKUP(A20,tmat,2,FALSE)</f>
        <v>Perno de Máquina de 1/2" x 10"</v>
      </c>
      <c r="C20" t="s">
        <v>3</v>
      </c>
      <c r="D20">
        <v>2</v>
      </c>
      <c r="E20">
        <v>2</v>
      </c>
    </row>
    <row r="21" spans="1:5" x14ac:dyDescent="0.25">
      <c r="A21" t="s">
        <v>333</v>
      </c>
      <c r="B21" t="str">
        <f t="shared" ref="B21" si="9">VLOOKUP(A21,tmat,2,FALSE)</f>
        <v>Tuerca de Ojo de 5/8"</v>
      </c>
      <c r="C21" t="s">
        <v>3</v>
      </c>
      <c r="D21">
        <v>3</v>
      </c>
      <c r="E21">
        <v>3</v>
      </c>
    </row>
    <row r="22" spans="1:5" x14ac:dyDescent="0.25">
      <c r="A22" t="s">
        <v>441</v>
      </c>
      <c r="B22" t="str">
        <f t="shared" ref="B22" si="10">VLOOKUP(A22,tmat,2,FALSE)</f>
        <v>Varilla de Armar Preformado para Cable ASCR # 1/0 AWG</v>
      </c>
      <c r="C22" t="s">
        <v>3</v>
      </c>
      <c r="D22">
        <v>3</v>
      </c>
      <c r="E22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1A7D63-79E5-4915-AB88-47A6115DB0B9}">
          <x14:formula1>
            <xm:f>Materiales!$B$2:$B$259</xm:f>
          </x14:formula1>
          <xm:sqref>A2:A7</xm:sqref>
        </x14:dataValidation>
      </x14:dataValidation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7EC4-6B79-4B62-8399-5C9382978A85}">
  <sheetPr codeName="Hoja89"/>
  <dimension ref="A1:E18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4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30</v>
      </c>
      <c r="E5">
        <v>30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5</v>
      </c>
      <c r="E6">
        <v>5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339</v>
      </c>
      <c r="B8" t="str">
        <f t="shared" ref="B8" si="2">VLOOKUP(A8,tmat,2,FALSE)</f>
        <v>Crucete de Madera Curada de 4" x 5" x 96" /Voladizo</v>
      </c>
      <c r="C8" t="s">
        <v>3</v>
      </c>
      <c r="D8">
        <v>1</v>
      </c>
      <c r="E8">
        <v>1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337</v>
      </c>
      <c r="B10" t="str">
        <f t="shared" ref="B10" si="3">VLOOKUP(A10,tmat,2,FALSE)</f>
        <v>Espiga para Cruceta de Madera, L=6" Rosca 1", Φ = 3/4"</v>
      </c>
      <c r="C10" t="s">
        <v>3</v>
      </c>
      <c r="D10">
        <v>3</v>
      </c>
      <c r="E10">
        <v>0</v>
      </c>
    </row>
    <row r="11" spans="1:5" x14ac:dyDescent="0.25">
      <c r="A11" t="s">
        <v>335</v>
      </c>
      <c r="B11" t="str">
        <f t="shared" si="0"/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25">
      <c r="A12" t="s">
        <v>340</v>
      </c>
      <c r="B12" t="str">
        <f t="shared" ref="B12" si="4">VLOOKUP(A12,tmat,2,FALSE)</f>
        <v>Perno de Máquina de 5/8" x 8"</v>
      </c>
      <c r="C12" t="s">
        <v>3</v>
      </c>
      <c r="D12">
        <v>1</v>
      </c>
      <c r="E12">
        <v>1</v>
      </c>
    </row>
    <row r="13" spans="1:5" x14ac:dyDescent="0.25">
      <c r="A13" t="s">
        <v>348</v>
      </c>
      <c r="B13" t="str">
        <f t="shared" si="0"/>
        <v>Perno de Máquina de 5/8" x 14"</v>
      </c>
      <c r="C13" t="s">
        <v>3</v>
      </c>
      <c r="D13">
        <v>1</v>
      </c>
      <c r="E13">
        <v>1</v>
      </c>
    </row>
    <row r="14" spans="1:5" x14ac:dyDescent="0.25">
      <c r="A14" t="s">
        <v>334</v>
      </c>
      <c r="B14" t="str">
        <f t="shared" si="0"/>
        <v>Perno de Rosca Corrida 5/8" x 12"</v>
      </c>
      <c r="C14" t="s">
        <v>3</v>
      </c>
      <c r="D14">
        <v>1</v>
      </c>
      <c r="E14">
        <v>1</v>
      </c>
    </row>
    <row r="15" spans="1:5" x14ac:dyDescent="0.25">
      <c r="A15" t="s">
        <v>341</v>
      </c>
      <c r="B15" t="str">
        <f t="shared" ref="B15" si="5">VLOOKUP(A15,tmat,2,FALSE)</f>
        <v>Puntal Angular de 60", 1-3/4" x 1-3/4" x 3/16"</v>
      </c>
      <c r="C15" t="s">
        <v>3</v>
      </c>
      <c r="D15">
        <v>1</v>
      </c>
      <c r="E15">
        <v>1</v>
      </c>
    </row>
    <row r="16" spans="1:5" x14ac:dyDescent="0.25">
      <c r="A16" t="s">
        <v>1174</v>
      </c>
      <c r="B16" t="str">
        <f t="shared" ref="B16" si="6">VLOOKUP(A16,tmat,2,FALSE)</f>
        <v>Perno de Máquina de 1/2" x 10"</v>
      </c>
      <c r="C16" t="s">
        <v>3</v>
      </c>
      <c r="D16">
        <v>1</v>
      </c>
      <c r="E16">
        <v>1</v>
      </c>
    </row>
    <row r="17" spans="1:5" x14ac:dyDescent="0.25">
      <c r="A17" t="s">
        <v>333</v>
      </c>
      <c r="B17" t="str">
        <f t="shared" ref="B17" si="7">VLOOKUP(A17,tmat,2,FALSE)</f>
        <v>Tuerca de Ojo de 5/8"</v>
      </c>
      <c r="C17" t="s">
        <v>3</v>
      </c>
      <c r="D17">
        <v>1</v>
      </c>
      <c r="E17">
        <v>1</v>
      </c>
    </row>
    <row r="18" spans="1:5" x14ac:dyDescent="0.25">
      <c r="A18" t="s">
        <v>441</v>
      </c>
      <c r="B18" t="str">
        <f t="shared" ref="B18" si="8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976B06-5D2F-4AE1-B573-53C7F1165F9F}">
          <x14:formula1>
            <xm:f>Materiales!$B$2:$B$259</xm:f>
          </x14:formula1>
          <xm:sqref>A2:A7</xm:sqref>
        </x14:dataValidation>
      </x14:dataValidation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E792-2C0D-4308-8FDA-C22025C52506}">
  <sheetPr codeName="Hoja90"/>
  <dimension ref="A1:E21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30</v>
      </c>
      <c r="E5">
        <v>30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13</v>
      </c>
      <c r="E6">
        <v>13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2</v>
      </c>
      <c r="E7">
        <v>2</v>
      </c>
    </row>
    <row r="8" spans="1:5" x14ac:dyDescent="0.25">
      <c r="A8" t="s">
        <v>401</v>
      </c>
      <c r="B8" t="str">
        <f t="shared" ref="B8" si="2">VLOOKUP(A8,tmat,2,FALSE)</f>
        <v>Crucete de Madera Curada de 4" x 5" x 96"</v>
      </c>
      <c r="C8" t="s">
        <v>3</v>
      </c>
      <c r="D8">
        <v>2</v>
      </c>
      <c r="E8">
        <v>2</v>
      </c>
    </row>
    <row r="9" spans="1:5" x14ac:dyDescent="0.25">
      <c r="A9" t="s">
        <v>339</v>
      </c>
      <c r="B9" t="str">
        <f t="shared" ref="B9" si="3">VLOOKUP(A9,tmat,2,FALSE)</f>
        <v>Crucete de Madera Curada de 4" x 5" x 96" /Voladizo</v>
      </c>
      <c r="C9" t="s">
        <v>3</v>
      </c>
      <c r="D9">
        <v>1</v>
      </c>
      <c r="E9">
        <v>1</v>
      </c>
    </row>
    <row r="10" spans="1:5" x14ac:dyDescent="0.25">
      <c r="A10" t="s">
        <v>337</v>
      </c>
      <c r="B10" t="str">
        <f t="shared" si="0"/>
        <v>Espiga para Cruceta de Madera, L=6" Rosca 1", Φ = 3/4"</v>
      </c>
      <c r="C10" t="s">
        <v>3</v>
      </c>
      <c r="D10">
        <v>0</v>
      </c>
      <c r="E10">
        <v>3</v>
      </c>
    </row>
    <row r="11" spans="1:5" x14ac:dyDescent="0.25">
      <c r="A11" t="s">
        <v>337</v>
      </c>
      <c r="B11" t="str">
        <f t="shared" ref="B11" si="4">VLOOKUP(A11,tmat,2,FALSE)</f>
        <v>Espiga para Cruceta de Madera, L=6" Rosca 1", Φ = 3/4"</v>
      </c>
      <c r="C11" t="s">
        <v>3</v>
      </c>
      <c r="D11">
        <v>3</v>
      </c>
      <c r="E11">
        <v>0</v>
      </c>
    </row>
    <row r="12" spans="1:5" x14ac:dyDescent="0.25">
      <c r="A12" t="s">
        <v>335</v>
      </c>
      <c r="B12" t="str">
        <f t="shared" si="0"/>
        <v>Grapa Terminal tipo Recto para Conductor (1/0 - 4/0)</v>
      </c>
      <c r="C12" t="s">
        <v>3</v>
      </c>
      <c r="D12">
        <v>2</v>
      </c>
      <c r="E12">
        <v>2</v>
      </c>
    </row>
    <row r="13" spans="1:5" x14ac:dyDescent="0.25">
      <c r="A13" t="s">
        <v>346</v>
      </c>
      <c r="B13" t="str">
        <f t="shared" ref="B13" si="5">VLOOKUP(A13,tmat,2,FALSE)</f>
        <v>Perno de Carroceria 3/8" x 5"</v>
      </c>
      <c r="C13" t="s">
        <v>3</v>
      </c>
      <c r="D13">
        <v>4</v>
      </c>
      <c r="E13">
        <v>4</v>
      </c>
    </row>
    <row r="14" spans="1:5" x14ac:dyDescent="0.25">
      <c r="A14" t="s">
        <v>340</v>
      </c>
      <c r="B14" t="str">
        <f t="shared" ref="B14" si="6">VLOOKUP(A14,tmat,2,FALSE)</f>
        <v>Perno de Máquina de 5/8" x 8"</v>
      </c>
      <c r="C14" t="s">
        <v>3</v>
      </c>
      <c r="D14">
        <v>1</v>
      </c>
      <c r="E14">
        <v>1</v>
      </c>
    </row>
    <row r="15" spans="1:5" x14ac:dyDescent="0.25">
      <c r="A15" t="s">
        <v>348</v>
      </c>
      <c r="B15" t="str">
        <f t="shared" si="0"/>
        <v>Perno de Máquina de 5/8" x 14"</v>
      </c>
      <c r="C15" t="s">
        <v>3</v>
      </c>
      <c r="D15">
        <v>1</v>
      </c>
      <c r="E15">
        <v>1</v>
      </c>
    </row>
    <row r="16" spans="1:5" x14ac:dyDescent="0.25">
      <c r="A16" t="s">
        <v>419</v>
      </c>
      <c r="B16" t="str">
        <f t="shared" si="0"/>
        <v>Perno de Rosca Corrida 5/8" x 20"</v>
      </c>
      <c r="C16" t="s">
        <v>3</v>
      </c>
      <c r="D16">
        <v>3</v>
      </c>
      <c r="E16">
        <v>3</v>
      </c>
    </row>
    <row r="17" spans="1:5" x14ac:dyDescent="0.25">
      <c r="A17" t="s">
        <v>341</v>
      </c>
      <c r="B17" t="str">
        <f t="shared" ref="B17" si="7">VLOOKUP(A17,tmat,2,FALSE)</f>
        <v>Puntal Angular de 60", 1-3/4" x 1-3/4" x 3/16"</v>
      </c>
      <c r="C17" t="s">
        <v>3</v>
      </c>
      <c r="D17">
        <v>1</v>
      </c>
      <c r="E17">
        <v>1</v>
      </c>
    </row>
    <row r="18" spans="1:5" x14ac:dyDescent="0.25">
      <c r="A18" t="s">
        <v>347</v>
      </c>
      <c r="B18" t="str">
        <f t="shared" ref="B18" si="8">VLOOKUP(A18,tmat,2,FALSE)</f>
        <v>Tirante de Pletina de 1/4" x 1-1/4" x 30"</v>
      </c>
      <c r="C18" t="s">
        <v>3</v>
      </c>
      <c r="D18">
        <v>4</v>
      </c>
      <c r="E18">
        <v>4</v>
      </c>
    </row>
    <row r="19" spans="1:5" x14ac:dyDescent="0.25">
      <c r="A19" t="s">
        <v>1174</v>
      </c>
      <c r="B19" t="str">
        <f t="shared" ref="B19" si="9">VLOOKUP(A19,tmat,2,FALSE)</f>
        <v>Perno de Máquina de 1/2" x 10"</v>
      </c>
      <c r="C19" t="s">
        <v>3</v>
      </c>
      <c r="D19">
        <v>2</v>
      </c>
      <c r="E19">
        <v>2</v>
      </c>
    </row>
    <row r="20" spans="1:5" x14ac:dyDescent="0.25">
      <c r="A20" t="s">
        <v>333</v>
      </c>
      <c r="B20" t="str">
        <f t="shared" ref="B20" si="10">VLOOKUP(A20,tmat,2,FALSE)</f>
        <v>Tuerca de Ojo de 5/8"</v>
      </c>
      <c r="C20" t="s">
        <v>3</v>
      </c>
      <c r="D20">
        <v>2</v>
      </c>
      <c r="E20">
        <v>2</v>
      </c>
    </row>
    <row r="21" spans="1:5" x14ac:dyDescent="0.25">
      <c r="A21" t="s">
        <v>441</v>
      </c>
      <c r="B21" t="str">
        <f t="shared" ref="B21" si="11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E093FE-7F99-49B0-970C-1E1A2DD5AF88}">
          <x14:formula1>
            <xm:f>Materiales!$B$2:$B$259</xm:f>
          </x14:formula1>
          <xm:sqref>A2:A7</xm:sqref>
        </x14:dataValidation>
      </x14:dataValidations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AB7F-C777-41EB-B849-EA8CFF4259A1}">
  <sheetPr codeName="Hoja91"/>
  <dimension ref="A1:E22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7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7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35</v>
      </c>
      <c r="E5">
        <v>35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20</v>
      </c>
      <c r="E6">
        <v>20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401</v>
      </c>
      <c r="B8" t="str">
        <f t="shared" ref="B8" si="2">VLOOKUP(A8,tmat,2,FALSE)</f>
        <v>Crucete de Madera Curada de 4" x 5" x 96"</v>
      </c>
      <c r="C8" t="s">
        <v>3</v>
      </c>
      <c r="D8">
        <v>4</v>
      </c>
      <c r="E8">
        <v>4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t="s">
        <v>3</v>
      </c>
      <c r="D9">
        <v>0</v>
      </c>
      <c r="E9">
        <v>5</v>
      </c>
    </row>
    <row r="10" spans="1:5" x14ac:dyDescent="0.25">
      <c r="A10" t="s">
        <v>337</v>
      </c>
      <c r="B10" t="str">
        <f t="shared" ref="B10:B12" si="3">VLOOKUP(A10,tmat,2,FALSE)</f>
        <v>Espiga para Cruceta de Madera, L=6" Rosca 1", Φ = 3/4"</v>
      </c>
      <c r="C10" t="s">
        <v>3</v>
      </c>
      <c r="D10">
        <v>5</v>
      </c>
      <c r="E10">
        <v>0</v>
      </c>
    </row>
    <row r="11" spans="1:5" x14ac:dyDescent="0.25">
      <c r="A11" t="s">
        <v>406</v>
      </c>
      <c r="B11" t="str">
        <f t="shared" si="3"/>
        <v>Espiga para Punta de Poste tipo Escuadra, 34.5 KV, L=21" Rosca 1-3/8"</v>
      </c>
      <c r="C11" t="s">
        <v>3</v>
      </c>
      <c r="D11">
        <v>2</v>
      </c>
      <c r="E11">
        <v>0</v>
      </c>
    </row>
    <row r="12" spans="1:5" x14ac:dyDescent="0.25">
      <c r="A12" t="s">
        <v>8</v>
      </c>
      <c r="B12" t="str">
        <f t="shared" si="3"/>
        <v>Espiga Punta de Poste tipo Recta, 13.8 KV, L=18" Rosca 1"</v>
      </c>
      <c r="C12" t="s">
        <v>3</v>
      </c>
      <c r="D12">
        <v>0</v>
      </c>
      <c r="E12">
        <v>2</v>
      </c>
    </row>
    <row r="13" spans="1:5" x14ac:dyDescent="0.25">
      <c r="A13" t="s">
        <v>335</v>
      </c>
      <c r="B13" t="str">
        <f t="shared" si="0"/>
        <v>Grapa Terminal tipo Recto para Conductor (1/0 - 4/0)</v>
      </c>
      <c r="C13" t="s">
        <v>3</v>
      </c>
      <c r="D13">
        <v>3</v>
      </c>
      <c r="E13">
        <v>3</v>
      </c>
    </row>
    <row r="14" spans="1:5" x14ac:dyDescent="0.25">
      <c r="A14" t="s">
        <v>346</v>
      </c>
      <c r="B14" t="str">
        <f t="shared" ref="B14" si="4">VLOOKUP(A14,tmat,2,FALSE)</f>
        <v>Perno de Carroceria 3/8" x 5"</v>
      </c>
      <c r="C14" t="s">
        <v>3</v>
      </c>
      <c r="D14">
        <v>8</v>
      </c>
      <c r="E14">
        <v>8</v>
      </c>
    </row>
    <row r="15" spans="1:5" x14ac:dyDescent="0.25">
      <c r="A15" t="s">
        <v>340</v>
      </c>
      <c r="B15" t="str">
        <f t="shared" ref="B15" si="5">VLOOKUP(A15,tmat,2,FALSE)</f>
        <v>Perno de Máquina de 5/8" x 8"</v>
      </c>
      <c r="C15" t="s">
        <v>3</v>
      </c>
      <c r="D15">
        <v>4</v>
      </c>
      <c r="E15">
        <v>0</v>
      </c>
    </row>
    <row r="16" spans="1:5" x14ac:dyDescent="0.25">
      <c r="A16" t="s">
        <v>332</v>
      </c>
      <c r="B16" t="str">
        <f t="shared" si="0"/>
        <v>Perno de Máquina de 5/8" x 12"</v>
      </c>
      <c r="C16" t="s">
        <v>3</v>
      </c>
      <c r="D16">
        <v>2</v>
      </c>
      <c r="E16">
        <v>2</v>
      </c>
    </row>
    <row r="17" spans="1:5" x14ac:dyDescent="0.25">
      <c r="A17" t="s">
        <v>419</v>
      </c>
      <c r="B17" t="str">
        <f t="shared" si="0"/>
        <v>Perno de Rosca Corrida 5/8" x 20"</v>
      </c>
      <c r="C17" t="s">
        <v>3</v>
      </c>
      <c r="D17">
        <v>6</v>
      </c>
      <c r="E17">
        <v>6</v>
      </c>
    </row>
    <row r="18" spans="1:5" x14ac:dyDescent="0.25">
      <c r="A18" t="s">
        <v>423</v>
      </c>
      <c r="B18" t="str">
        <f t="shared" ref="B18" si="6">VLOOKUP(A18,tmat,2,FALSE)</f>
        <v>Pletina Espaciadora para Crucete Madera 1/2" x 4" x 24"</v>
      </c>
      <c r="C18" t="s">
        <v>3</v>
      </c>
      <c r="D18">
        <v>4</v>
      </c>
      <c r="E18">
        <v>0</v>
      </c>
    </row>
    <row r="19" spans="1:5" x14ac:dyDescent="0.25">
      <c r="A19" t="s">
        <v>347</v>
      </c>
      <c r="B19" t="str">
        <f t="shared" ref="B19" si="7">VLOOKUP(A19,tmat,2,FALSE)</f>
        <v>Tirante de Pletina de 1/4" x 1-1/4" x 30"</v>
      </c>
      <c r="C19" t="s">
        <v>3</v>
      </c>
      <c r="D19">
        <v>8</v>
      </c>
      <c r="E19">
        <v>8</v>
      </c>
    </row>
    <row r="20" spans="1:5" x14ac:dyDescent="0.25">
      <c r="A20" t="s">
        <v>1174</v>
      </c>
      <c r="B20" t="str">
        <f t="shared" ref="B20" si="8">VLOOKUP(A20,tmat,2,FALSE)</f>
        <v>Perno de Máquina de 1/2" x 10"</v>
      </c>
      <c r="C20" t="s">
        <v>3</v>
      </c>
      <c r="D20">
        <v>2</v>
      </c>
      <c r="E20">
        <v>2</v>
      </c>
    </row>
    <row r="21" spans="1:5" x14ac:dyDescent="0.25">
      <c r="A21" t="s">
        <v>333</v>
      </c>
      <c r="B21" t="str">
        <f t="shared" ref="B21" si="9">VLOOKUP(A21,tmat,2,FALSE)</f>
        <v>Tuerca de Ojo de 5/8"</v>
      </c>
      <c r="C21" t="s">
        <v>3</v>
      </c>
      <c r="D21">
        <v>3</v>
      </c>
      <c r="E21">
        <v>3</v>
      </c>
    </row>
    <row r="22" spans="1:5" x14ac:dyDescent="0.25">
      <c r="A22" t="s">
        <v>441</v>
      </c>
      <c r="B22" t="str">
        <f t="shared" ref="B22" si="10">VLOOKUP(A22,tmat,2,FALSE)</f>
        <v>Varilla de Armar Preformado para Cable ASCR # 1/0 AWG</v>
      </c>
      <c r="C22" t="s">
        <v>3</v>
      </c>
      <c r="D22">
        <v>3</v>
      </c>
      <c r="E22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84F46C-A4A2-4602-B9B7-CABA25049A42}">
          <x14:formula1>
            <xm:f>Materiales!$B$2:$B$259</xm:f>
          </x14:formula1>
          <xm:sqref>A2:A7</xm:sqref>
        </x14:dataValidation>
      </x14:dataValidation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F952-DF18-44EC-9E8A-C53F19BCB231}">
  <sheetPr codeName="Hoja92"/>
  <dimension ref="A1:E19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376</v>
      </c>
      <c r="B4" t="str">
        <f t="shared" si="0"/>
        <v>Aislador de Suspensión ANSI C 52-9</v>
      </c>
      <c r="C4" t="s">
        <v>3</v>
      </c>
      <c r="D4">
        <v>27</v>
      </c>
      <c r="E4">
        <v>18</v>
      </c>
    </row>
    <row r="5" spans="1:5" x14ac:dyDescent="0.25">
      <c r="A5" t="s">
        <v>5</v>
      </c>
      <c r="B5" t="str">
        <f t="shared" si="0"/>
        <v>Alambre de Amarre N° 6</v>
      </c>
      <c r="C5" t="s">
        <v>1227</v>
      </c>
      <c r="D5">
        <v>20</v>
      </c>
      <c r="E5">
        <v>20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20</v>
      </c>
      <c r="E6">
        <v>20</v>
      </c>
    </row>
    <row r="7" spans="1:5" x14ac:dyDescent="0.25">
      <c r="A7" t="s">
        <v>389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401</v>
      </c>
      <c r="B8" t="str">
        <f t="shared" ref="B8" si="2">VLOOKUP(A8,tmat,2,FALSE)</f>
        <v>Crucete de Madera Curada de 4" x 5" x 96"</v>
      </c>
      <c r="C8" t="s">
        <v>3</v>
      </c>
      <c r="D8">
        <v>4</v>
      </c>
      <c r="E8">
        <v>4</v>
      </c>
    </row>
    <row r="9" spans="1:5" x14ac:dyDescent="0.25">
      <c r="A9" t="s">
        <v>337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337</v>
      </c>
      <c r="B10" t="str">
        <f t="shared" ref="B10:B12" si="3">VLOOKUP(A10,tmat,2,FALSE)</f>
        <v>Espiga para Cruceta de Madera, L=6" Rosca 1", Φ = 3/4"</v>
      </c>
      <c r="C10" t="s">
        <v>3</v>
      </c>
      <c r="D10">
        <v>3</v>
      </c>
      <c r="E10">
        <v>0</v>
      </c>
    </row>
    <row r="11" spans="1:5" x14ac:dyDescent="0.25">
      <c r="A11" t="s">
        <v>406</v>
      </c>
      <c r="B11" t="str">
        <f t="shared" si="3"/>
        <v>Espiga para Punta de Poste tipo Escuadra, 34.5 KV, L=21" Rosca 1-3/8"</v>
      </c>
      <c r="C11" t="s">
        <v>3</v>
      </c>
      <c r="D11">
        <v>1</v>
      </c>
      <c r="E11">
        <v>0</v>
      </c>
    </row>
    <row r="12" spans="1:5" x14ac:dyDescent="0.25">
      <c r="A12" t="s">
        <v>8</v>
      </c>
      <c r="B12" t="str">
        <f t="shared" si="3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25">
      <c r="A13" t="s">
        <v>335</v>
      </c>
      <c r="B13" t="str">
        <f t="shared" si="0"/>
        <v>Grapa Terminal tipo Recto para Conductor (1/0 - 4/0)</v>
      </c>
      <c r="C13" t="s">
        <v>3</v>
      </c>
      <c r="D13">
        <v>9</v>
      </c>
      <c r="E13">
        <v>9</v>
      </c>
    </row>
    <row r="14" spans="1:5" x14ac:dyDescent="0.25">
      <c r="A14" t="s">
        <v>346</v>
      </c>
      <c r="B14" t="str">
        <f t="shared" ref="B14" si="4">VLOOKUP(A14,tmat,2,FALSE)</f>
        <v>Perno de Carroceria 3/8" x 5"</v>
      </c>
      <c r="C14" t="s">
        <v>3</v>
      </c>
      <c r="D14">
        <v>8</v>
      </c>
      <c r="E14">
        <v>8</v>
      </c>
    </row>
    <row r="15" spans="1:5" x14ac:dyDescent="0.25">
      <c r="A15" t="s">
        <v>9</v>
      </c>
      <c r="B15" t="str">
        <f t="shared" ref="B15" si="5">VLOOKUP(A15,tmat,2,FALSE)</f>
        <v>Perno de Máquina de 5/8" x 10"</v>
      </c>
      <c r="C15" t="s">
        <v>3</v>
      </c>
      <c r="D15">
        <v>2</v>
      </c>
      <c r="E15">
        <v>2</v>
      </c>
    </row>
    <row r="16" spans="1:5" x14ac:dyDescent="0.25">
      <c r="A16" t="s">
        <v>419</v>
      </c>
      <c r="B16" t="str">
        <f t="shared" si="0"/>
        <v>Perno de Rosca Corrida 5/8" x 20"</v>
      </c>
      <c r="C16" t="s">
        <v>3</v>
      </c>
      <c r="D16">
        <v>6</v>
      </c>
      <c r="E16">
        <v>6</v>
      </c>
    </row>
    <row r="17" spans="1:5" x14ac:dyDescent="0.25">
      <c r="A17" t="s">
        <v>347</v>
      </c>
      <c r="B17" t="str">
        <f t="shared" ref="B17" si="6">VLOOKUP(A17,tmat,2,FALSE)</f>
        <v>Tirante de Pletina de 1/4" x 1-1/4" x 30"</v>
      </c>
      <c r="C17" t="s">
        <v>3</v>
      </c>
      <c r="D17">
        <v>8</v>
      </c>
      <c r="E17">
        <v>8</v>
      </c>
    </row>
    <row r="18" spans="1:5" x14ac:dyDescent="0.25">
      <c r="A18" t="s">
        <v>1174</v>
      </c>
      <c r="B18" t="str">
        <f t="shared" ref="B18" si="7">VLOOKUP(A18,tmat,2,FALSE)</f>
        <v>Perno de Máquina de 1/2" x 10"</v>
      </c>
      <c r="C18" t="s">
        <v>3</v>
      </c>
      <c r="D18">
        <v>2</v>
      </c>
      <c r="E18">
        <v>2</v>
      </c>
    </row>
    <row r="19" spans="1:5" x14ac:dyDescent="0.25">
      <c r="A19" t="s">
        <v>333</v>
      </c>
      <c r="B19" t="str">
        <f t="shared" ref="B19" si="8">VLOOKUP(A19,tmat,2,FALSE)</f>
        <v>Tuerca de Ojo de 5/8"</v>
      </c>
      <c r="C19" t="s">
        <v>3</v>
      </c>
      <c r="D19">
        <v>9</v>
      </c>
      <c r="E19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4E64F5-1D1E-4610-8772-56C33F0443B6}">
          <x14:formula1>
            <xm:f>Materiales!$B$2:$B$259</xm:f>
          </x14:formula1>
          <xm:sqref>A2:A7</xm:sqref>
        </x14:dataValidation>
      </x14:dataValidation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C6DC-A6DE-4BD2-8498-A0070A512BD5}">
  <sheetPr codeName="Hoja93"/>
  <dimension ref="A1:E14"/>
  <sheetViews>
    <sheetView workbookViewId="0">
      <selection activeCell="A11" sqref="A11:XFD1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1227</v>
      </c>
      <c r="D4">
        <v>30</v>
      </c>
      <c r="E4">
        <v>30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3</v>
      </c>
      <c r="E5">
        <v>3</v>
      </c>
    </row>
    <row r="6" spans="1:5" x14ac:dyDescent="0.25">
      <c r="A6" t="s">
        <v>1322</v>
      </c>
      <c r="B6" t="str">
        <f t="shared" si="0"/>
        <v>Crucete de Madera Curada de 4" x 5" x 120"</v>
      </c>
      <c r="C6" t="s">
        <v>3</v>
      </c>
      <c r="D6">
        <v>1</v>
      </c>
      <c r="E6">
        <v>1</v>
      </c>
    </row>
    <row r="7" spans="1:5" x14ac:dyDescent="0.25">
      <c r="A7" t="s">
        <v>337</v>
      </c>
      <c r="B7" t="str">
        <f t="shared" si="0"/>
        <v>Espiga para Cruceta de Madera, L=6" Rosca 1", Φ = 3/4"</v>
      </c>
      <c r="C7" t="s">
        <v>3</v>
      </c>
      <c r="D7">
        <v>0</v>
      </c>
      <c r="E7">
        <v>3</v>
      </c>
    </row>
    <row r="8" spans="1:5" x14ac:dyDescent="0.25">
      <c r="A8" t="s">
        <v>338</v>
      </c>
      <c r="B8" t="str">
        <f t="shared" si="0"/>
        <v>Espiga para Cruceta de Madera, L=8" Rosca 1-3/8", Φ = 3/4"</v>
      </c>
      <c r="C8" t="s">
        <v>3</v>
      </c>
      <c r="D8">
        <v>3</v>
      </c>
      <c r="E8">
        <v>0</v>
      </c>
    </row>
    <row r="9" spans="1:5" x14ac:dyDescent="0.25">
      <c r="A9" t="s">
        <v>341</v>
      </c>
      <c r="B9" t="str">
        <f t="shared" ref="B9:B10" si="2">VLOOKUP(A9,tmat,2,FALSE)</f>
        <v>Puntal Angular de 60", 1-3/4" x 1-3/4" x 3/16"</v>
      </c>
      <c r="C9" t="s">
        <v>3</v>
      </c>
      <c r="D9">
        <v>2</v>
      </c>
      <c r="E9">
        <v>2</v>
      </c>
    </row>
    <row r="10" spans="1:5" x14ac:dyDescent="0.25">
      <c r="A10" t="s">
        <v>1323</v>
      </c>
      <c r="B10" t="str">
        <f t="shared" si="2"/>
        <v>Placa de Refuerzo 3/16" x 4" x 5", Ø=13/16"</v>
      </c>
      <c r="C10" t="s">
        <v>3</v>
      </c>
      <c r="D10">
        <v>1</v>
      </c>
      <c r="E10">
        <v>1</v>
      </c>
    </row>
    <row r="11" spans="1:5" x14ac:dyDescent="0.25">
      <c r="A11" t="s">
        <v>1174</v>
      </c>
      <c r="B11" t="str">
        <f t="shared" si="0"/>
        <v>Perno de Máquina de 1/2" x 10"</v>
      </c>
      <c r="C11" t="s">
        <v>3</v>
      </c>
      <c r="D11">
        <v>1</v>
      </c>
      <c r="E11">
        <v>1</v>
      </c>
    </row>
    <row r="12" spans="1:5" x14ac:dyDescent="0.25">
      <c r="A12" t="s">
        <v>340</v>
      </c>
      <c r="B12" t="str">
        <f t="shared" ref="B12" si="3">VLOOKUP(A12,tmat,2,FALSE)</f>
        <v>Perno de Máquina de 5/8" x 8"</v>
      </c>
      <c r="C12" t="s">
        <v>3</v>
      </c>
      <c r="D12">
        <v>2</v>
      </c>
      <c r="E12">
        <v>2</v>
      </c>
    </row>
    <row r="13" spans="1:5" x14ac:dyDescent="0.25">
      <c r="A13" t="s">
        <v>1324</v>
      </c>
      <c r="B13" t="str">
        <f t="shared" si="0"/>
        <v>Perno de Máquina de 5/8" x 16"</v>
      </c>
      <c r="C13" t="s">
        <v>3</v>
      </c>
      <c r="D13">
        <v>1</v>
      </c>
      <c r="E13">
        <v>1</v>
      </c>
    </row>
    <row r="14" spans="1:5" x14ac:dyDescent="0.25">
      <c r="A14" t="s">
        <v>441</v>
      </c>
      <c r="B14" t="str">
        <f t="shared" ref="B14" si="4">VLOOKUP(A14,tmat,2,FALSE)</f>
        <v>Varilla de Armar Preformado para Cable ASCR # 1/0 AWG</v>
      </c>
      <c r="C14" t="s">
        <v>3</v>
      </c>
      <c r="D14">
        <v>3</v>
      </c>
      <c r="E14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529049-462A-40C4-949A-7F23C1EADCA3}">
          <x14:formula1>
            <xm:f>Materiales!$B$2:$B$259</xm:f>
          </x14:formula1>
          <xm:sqref>A2:A6 A9:A10</xm:sqref>
        </x14:dataValidation>
      </x14:dataValidation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E597-2A45-4B73-AAFC-4F6A0B1FA6E7}">
  <sheetPr codeName="Hoja94"/>
  <dimension ref="A1:E14"/>
  <sheetViews>
    <sheetView workbookViewId="0">
      <selection activeCell="E22" sqref="E2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6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6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1227</v>
      </c>
      <c r="D4">
        <v>30</v>
      </c>
      <c r="E4">
        <v>30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12</v>
      </c>
      <c r="E5">
        <v>12</v>
      </c>
    </row>
    <row r="6" spans="1:5" x14ac:dyDescent="0.25">
      <c r="A6" t="s">
        <v>1322</v>
      </c>
      <c r="B6" t="str">
        <f t="shared" si="0"/>
        <v>Crucete de Madera Curada de 4" x 5" x 120"</v>
      </c>
      <c r="C6" t="s">
        <v>3</v>
      </c>
      <c r="D6">
        <v>2</v>
      </c>
      <c r="E6">
        <v>2</v>
      </c>
    </row>
    <row r="7" spans="1:5" x14ac:dyDescent="0.25">
      <c r="A7" t="s">
        <v>337</v>
      </c>
      <c r="B7" t="str">
        <f t="shared" si="0"/>
        <v>Espiga para Cruceta de Madera, L=6" Rosca 1", Φ = 3/4"</v>
      </c>
      <c r="C7" t="s">
        <v>3</v>
      </c>
      <c r="D7">
        <v>0</v>
      </c>
      <c r="E7">
        <v>6</v>
      </c>
    </row>
    <row r="8" spans="1:5" x14ac:dyDescent="0.25">
      <c r="A8" t="s">
        <v>338</v>
      </c>
      <c r="B8" t="str">
        <f t="shared" si="0"/>
        <v>Espiga para Cruceta de Madera, L=8" Rosca 1-3/8", Φ = 3/4"</v>
      </c>
      <c r="C8" t="s">
        <v>3</v>
      </c>
      <c r="D8">
        <v>6</v>
      </c>
      <c r="E8">
        <v>0</v>
      </c>
    </row>
    <row r="9" spans="1:5" x14ac:dyDescent="0.25">
      <c r="A9" t="s">
        <v>341</v>
      </c>
      <c r="B9" t="str">
        <f t="shared" ref="B9:B10" si="2">VLOOKUP(A9,tmat,2,FALSE)</f>
        <v>Puntal Angular de 60", 1-3/4" x 1-3/4" x 3/16"</v>
      </c>
      <c r="C9" t="s">
        <v>3</v>
      </c>
      <c r="D9">
        <v>4</v>
      </c>
      <c r="E9">
        <v>4</v>
      </c>
    </row>
    <row r="10" spans="1:5" x14ac:dyDescent="0.25">
      <c r="A10" t="s">
        <v>1323</v>
      </c>
      <c r="B10" t="str">
        <f t="shared" si="2"/>
        <v>Placa de Refuerzo 3/16" x 4" x 5", Ø=13/16"</v>
      </c>
      <c r="C10" t="s">
        <v>3</v>
      </c>
      <c r="D10">
        <v>2</v>
      </c>
      <c r="E10">
        <v>2</v>
      </c>
    </row>
    <row r="11" spans="1:5" x14ac:dyDescent="0.25">
      <c r="A11" t="s">
        <v>1174</v>
      </c>
      <c r="B11" t="str">
        <f t="shared" si="0"/>
        <v>Perno de Máquina de 1/2" x 10"</v>
      </c>
      <c r="C11" t="s">
        <v>3</v>
      </c>
      <c r="D11">
        <v>2</v>
      </c>
      <c r="E11">
        <v>2</v>
      </c>
    </row>
    <row r="12" spans="1:5" x14ac:dyDescent="0.25">
      <c r="A12" t="s">
        <v>340</v>
      </c>
      <c r="B12" t="str">
        <f t="shared" ref="B12" si="3">VLOOKUP(A12,tmat,2,FALSE)</f>
        <v>Perno de Máquina de 5/8" x 8"</v>
      </c>
      <c r="C12" t="s">
        <v>3</v>
      </c>
      <c r="D12">
        <v>4</v>
      </c>
      <c r="E12">
        <v>4</v>
      </c>
    </row>
    <row r="13" spans="1:5" x14ac:dyDescent="0.25">
      <c r="A13" t="s">
        <v>1325</v>
      </c>
      <c r="B13" t="str">
        <f t="shared" si="0"/>
        <v>Perno de Rosca Corrida 5/8" x 22"</v>
      </c>
      <c r="C13" t="s">
        <v>3</v>
      </c>
      <c r="D13">
        <v>3</v>
      </c>
      <c r="E13">
        <v>3</v>
      </c>
    </row>
    <row r="14" spans="1:5" x14ac:dyDescent="0.25">
      <c r="A14" t="s">
        <v>441</v>
      </c>
      <c r="B14" t="str">
        <f t="shared" ref="B14" si="4">VLOOKUP(A14,tmat,2,FALSE)</f>
        <v>Varilla de Armar Preformado para Cable ASCR # 1/0 AWG</v>
      </c>
      <c r="C14" t="s">
        <v>3</v>
      </c>
      <c r="D14">
        <v>3</v>
      </c>
      <c r="E14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9222B4-AEC5-49CC-9A78-97E0A4E8D2EB}">
          <x14:formula1>
            <xm:f>Materiales!$B$2:$B$259</xm:f>
          </x14:formula1>
          <xm:sqref>A2:A6 A9:A10</xm:sqref>
        </x14:dataValidation>
      </x14:dataValidation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84CC-928E-4EC6-B3E3-EFF4F6DC555C}">
  <sheetPr codeName="Hoja95"/>
  <dimension ref="A1:E11"/>
  <sheetViews>
    <sheetView workbookViewId="0">
      <selection activeCell="A10" sqref="A10:XFD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376</v>
      </c>
      <c r="B2" t="str">
        <f t="shared" ref="B2:B4" si="0">VLOOKUP(A2,tmat,2,FALSE)</f>
        <v>Aislador de Suspensión ANSI C 52-9</v>
      </c>
      <c r="C2" t="s">
        <v>3</v>
      </c>
      <c r="D2">
        <v>9</v>
      </c>
      <c r="E2">
        <v>6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12</v>
      </c>
      <c r="E3">
        <v>12</v>
      </c>
    </row>
    <row r="4" spans="1:5" x14ac:dyDescent="0.25">
      <c r="A4" t="s">
        <v>1322</v>
      </c>
      <c r="B4" t="str">
        <f t="shared" si="0"/>
        <v>Crucete de Madera Curada de 4" x 5" x 120"</v>
      </c>
      <c r="C4" t="s">
        <v>3</v>
      </c>
      <c r="D4">
        <v>2</v>
      </c>
      <c r="E4">
        <v>2</v>
      </c>
    </row>
    <row r="5" spans="1:5" x14ac:dyDescent="0.25">
      <c r="A5" t="s">
        <v>335</v>
      </c>
      <c r="B5" t="str">
        <f t="shared" ref="B5:B9" si="1">VLOOKUP(A5,tmat,2,FALSE)</f>
        <v>Grapa Terminal tipo Recto para Conductor (1/0 - 4/0)</v>
      </c>
      <c r="C5" t="s">
        <v>3</v>
      </c>
      <c r="D5">
        <v>3</v>
      </c>
      <c r="E5">
        <v>3</v>
      </c>
    </row>
    <row r="6" spans="1:5" x14ac:dyDescent="0.25">
      <c r="A6" t="s">
        <v>1326</v>
      </c>
      <c r="B6" t="str">
        <f t="shared" ref="B6:B7" si="2">VLOOKUP(A6,tmat,2,FALSE)</f>
        <v>Puntal Angular de 50", 1-3/4" x 1-3/4" x 3/16"</v>
      </c>
      <c r="C6" t="s">
        <v>3</v>
      </c>
      <c r="D6">
        <v>4</v>
      </c>
      <c r="E6">
        <v>4</v>
      </c>
    </row>
    <row r="7" spans="1:5" x14ac:dyDescent="0.25">
      <c r="A7" t="s">
        <v>1323</v>
      </c>
      <c r="B7" t="str">
        <f t="shared" si="2"/>
        <v>Placa de Refuerzo 3/16" x 4" x 5", Ø=13/16"</v>
      </c>
      <c r="C7" t="s">
        <v>3</v>
      </c>
      <c r="D7">
        <v>2</v>
      </c>
      <c r="E7">
        <v>2</v>
      </c>
    </row>
    <row r="8" spans="1:5" x14ac:dyDescent="0.25">
      <c r="A8" t="s">
        <v>340</v>
      </c>
      <c r="B8" t="str">
        <f t="shared" ref="B8" si="3">VLOOKUP(A8,tmat,2,FALSE)</f>
        <v>Perno de Máquina de 5/8" x 8"</v>
      </c>
      <c r="C8" t="s">
        <v>3</v>
      </c>
      <c r="D8">
        <v>4</v>
      </c>
      <c r="E8">
        <v>4</v>
      </c>
    </row>
    <row r="9" spans="1:5" x14ac:dyDescent="0.25">
      <c r="A9" t="s">
        <v>1325</v>
      </c>
      <c r="B9" t="str">
        <f t="shared" si="1"/>
        <v>Perno de Rosca Corrida 5/8" x 22"</v>
      </c>
      <c r="C9" t="s">
        <v>3</v>
      </c>
      <c r="D9">
        <v>3</v>
      </c>
      <c r="E9">
        <v>3</v>
      </c>
    </row>
    <row r="10" spans="1:5" x14ac:dyDescent="0.25">
      <c r="A10" t="s">
        <v>1174</v>
      </c>
      <c r="B10" t="str">
        <f t="shared" ref="B10" si="4">VLOOKUP(A10,tmat,2,FALSE)</f>
        <v>Perno de Máquina de 1/2" x 10"</v>
      </c>
      <c r="C10" t="s">
        <v>3</v>
      </c>
      <c r="D10">
        <v>1</v>
      </c>
      <c r="E10">
        <v>1</v>
      </c>
    </row>
    <row r="11" spans="1:5" x14ac:dyDescent="0.25">
      <c r="A11" t="s">
        <v>333</v>
      </c>
      <c r="B11" t="str">
        <f t="shared" ref="B11" si="5">VLOOKUP(A11,tmat,2,FALSE)</f>
        <v>Tuerca de Ojo de 5/8"</v>
      </c>
      <c r="C11" t="s">
        <v>3</v>
      </c>
      <c r="D11">
        <v>3</v>
      </c>
      <c r="E1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37325-5124-4DB9-925E-21CACD6E3316}">
          <x14:formula1>
            <xm:f>Materiales!$B$2:$B$259</xm:f>
          </x14:formula1>
          <xm:sqref>A2:A3</xm:sqref>
        </x14:dataValidation>
      </x14:dataValidation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649D-BBC2-4D8E-97F2-C382996CE8BD}">
  <sheetPr codeName="Hoja96"/>
  <dimension ref="A1:E16"/>
  <sheetViews>
    <sheetView workbookViewId="0">
      <selection activeCell="F16" sqref="F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376</v>
      </c>
      <c r="B4" t="str">
        <f t="shared" ref="B4:B9" si="1">VLOOKUP(A4,tmat,2,FALSE)</f>
        <v>Aislador de Suspensión ANSI C 52-9</v>
      </c>
      <c r="C4" t="s">
        <v>3</v>
      </c>
      <c r="D4">
        <v>18</v>
      </c>
      <c r="E4">
        <v>12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15</v>
      </c>
      <c r="E5">
        <v>15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12</v>
      </c>
      <c r="E6">
        <v>12</v>
      </c>
    </row>
    <row r="7" spans="1:5" x14ac:dyDescent="0.25">
      <c r="A7" t="s">
        <v>1322</v>
      </c>
      <c r="B7" t="str">
        <f t="shared" si="1"/>
        <v>Crucete de Madera Curada de 4" x 5" x 120"</v>
      </c>
      <c r="C7" t="s">
        <v>3</v>
      </c>
      <c r="D7">
        <v>2</v>
      </c>
      <c r="E7">
        <v>2</v>
      </c>
    </row>
    <row r="8" spans="1:5" x14ac:dyDescent="0.25">
      <c r="A8" t="s">
        <v>337</v>
      </c>
      <c r="B8" t="str">
        <f t="shared" si="1"/>
        <v>Espiga para Cruceta de Madera, L=6" Rosca 1", Φ = 3/4"</v>
      </c>
      <c r="C8" t="s">
        <v>3</v>
      </c>
      <c r="D8">
        <v>0</v>
      </c>
      <c r="E8">
        <v>3</v>
      </c>
    </row>
    <row r="9" spans="1:5" x14ac:dyDescent="0.25">
      <c r="A9" t="s">
        <v>338</v>
      </c>
      <c r="B9" t="str">
        <f t="shared" si="1"/>
        <v>Espiga para Cruceta de Madera, L=8" Rosca 1-3/8", Φ = 3/4"</v>
      </c>
      <c r="C9" t="s">
        <v>3</v>
      </c>
      <c r="D9">
        <v>3</v>
      </c>
      <c r="E9">
        <v>0</v>
      </c>
    </row>
    <row r="10" spans="1:5" x14ac:dyDescent="0.25">
      <c r="A10" t="s">
        <v>335</v>
      </c>
      <c r="B10" t="str">
        <f t="shared" ref="B10:B14" si="2">VLOOKUP(A10,tmat,2,FALSE)</f>
        <v>Grapa Terminal tipo Recto para Conductor (1/0 - 4/0)</v>
      </c>
      <c r="C10" t="s">
        <v>3</v>
      </c>
      <c r="D10">
        <v>6</v>
      </c>
      <c r="E10">
        <v>6</v>
      </c>
    </row>
    <row r="11" spans="1:5" x14ac:dyDescent="0.25">
      <c r="A11" t="s">
        <v>1326</v>
      </c>
      <c r="B11" t="str">
        <f t="shared" ref="B11:B12" si="3">VLOOKUP(A11,tmat,2,FALSE)</f>
        <v>Puntal Angular de 50", 1-3/4" x 1-3/4" x 3/16"</v>
      </c>
      <c r="C11" t="s">
        <v>3</v>
      </c>
      <c r="D11">
        <v>4</v>
      </c>
      <c r="E11">
        <v>4</v>
      </c>
    </row>
    <row r="12" spans="1:5" x14ac:dyDescent="0.25">
      <c r="A12" t="s">
        <v>1323</v>
      </c>
      <c r="B12" t="str">
        <f t="shared" si="3"/>
        <v>Placa de Refuerzo 3/16" x 4" x 5", Ø=13/16"</v>
      </c>
      <c r="C12" t="s">
        <v>3</v>
      </c>
      <c r="D12">
        <v>2</v>
      </c>
      <c r="E12">
        <v>2</v>
      </c>
    </row>
    <row r="13" spans="1:5" x14ac:dyDescent="0.25">
      <c r="A13" t="s">
        <v>340</v>
      </c>
      <c r="B13" t="str">
        <f t="shared" ref="B13" si="4">VLOOKUP(A13,tmat,2,FALSE)</f>
        <v>Perno de Máquina de 5/8" x 8"</v>
      </c>
      <c r="C13" t="s">
        <v>3</v>
      </c>
      <c r="D13">
        <v>4</v>
      </c>
      <c r="E13">
        <v>4</v>
      </c>
    </row>
    <row r="14" spans="1:5" x14ac:dyDescent="0.25">
      <c r="A14" t="s">
        <v>1325</v>
      </c>
      <c r="B14" t="str">
        <f t="shared" si="2"/>
        <v>Perno de Rosca Corrida 5/8" x 22"</v>
      </c>
      <c r="C14" t="s">
        <v>3</v>
      </c>
      <c r="D14">
        <v>3</v>
      </c>
      <c r="E14">
        <v>3</v>
      </c>
    </row>
    <row r="15" spans="1:5" x14ac:dyDescent="0.25">
      <c r="A15" t="s">
        <v>1174</v>
      </c>
      <c r="B15" t="str">
        <f t="shared" ref="B15" si="5">VLOOKUP(A15,tmat,2,FALSE)</f>
        <v>Perno de Máquina de 1/2" x 10"</v>
      </c>
      <c r="C15" t="s">
        <v>3</v>
      </c>
      <c r="D15">
        <v>1</v>
      </c>
      <c r="E15">
        <v>1</v>
      </c>
    </row>
    <row r="16" spans="1:5" x14ac:dyDescent="0.25">
      <c r="A16" t="s">
        <v>333</v>
      </c>
      <c r="B16" t="str">
        <f t="shared" ref="B16" si="6">VLOOKUP(A16,tmat,2,FALSE)</f>
        <v>Tuerca de Ojo de 5/8"</v>
      </c>
      <c r="C16" t="s">
        <v>3</v>
      </c>
      <c r="D16">
        <v>6</v>
      </c>
      <c r="E16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29FADD-87B7-4A1A-8AFD-21D64D622CA3}">
          <x14:formula1>
            <xm:f>Materiales!$B$2:$B$259</xm:f>
          </x14:formula1>
          <xm:sqref>A2:A6 A8:A9</xm:sqref>
        </x14:dataValidation>
      </x14:dataValidation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4B8C-23D0-47AA-8D3C-2A638633596C}">
  <sheetPr codeName="Hoja97"/>
  <dimension ref="A1:E17"/>
  <sheetViews>
    <sheetView workbookViewId="0">
      <selection activeCell="E25" sqref="E2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2</v>
      </c>
      <c r="E3">
        <v>0</v>
      </c>
    </row>
    <row r="4" spans="1:5" x14ac:dyDescent="0.25">
      <c r="A4" t="s">
        <v>376</v>
      </c>
      <c r="B4" t="str">
        <f t="shared" ref="B4:B10" si="1">VLOOKUP(A4,tmat,2,FALSE)</f>
        <v>Aislador de Suspensión ANSI C 52-9</v>
      </c>
      <c r="C4" t="s">
        <v>3</v>
      </c>
      <c r="D4">
        <v>18</v>
      </c>
      <c r="E4">
        <v>12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10</v>
      </c>
      <c r="E5">
        <v>10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25">
      <c r="A7" t="s">
        <v>389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1322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2</v>
      </c>
    </row>
    <row r="10" spans="1:5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2</v>
      </c>
      <c r="E10">
        <v>0</v>
      </c>
    </row>
    <row r="11" spans="1:5" x14ac:dyDescent="0.25">
      <c r="A11" t="s">
        <v>335</v>
      </c>
      <c r="B11" t="str">
        <f t="shared" ref="B11:B15" si="3">VLOOKUP(A11,tmat,2,FALSE)</f>
        <v>Grapa Terminal tipo Recto para Conductor (1/0 - 4/0)</v>
      </c>
      <c r="C11" t="s">
        <v>3</v>
      </c>
      <c r="D11">
        <v>6</v>
      </c>
      <c r="E11">
        <v>6</v>
      </c>
    </row>
    <row r="12" spans="1:5" x14ac:dyDescent="0.25">
      <c r="A12" t="s">
        <v>1326</v>
      </c>
      <c r="B12" t="str">
        <f t="shared" ref="B12:B13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25">
      <c r="A13" t="s">
        <v>1323</v>
      </c>
      <c r="B13" t="str">
        <f t="shared" si="4"/>
        <v>Placa de Refuerzo 3/16" x 4" x 5", Ø=13/16"</v>
      </c>
      <c r="C13" t="s">
        <v>3</v>
      </c>
      <c r="D13">
        <v>2</v>
      </c>
      <c r="E13">
        <v>2</v>
      </c>
    </row>
    <row r="14" spans="1:5" x14ac:dyDescent="0.25">
      <c r="A14" t="s">
        <v>340</v>
      </c>
      <c r="B14" t="str">
        <f t="shared" ref="B14" si="5">VLOOKUP(A14,tmat,2,FALSE)</f>
        <v>Perno de Máquina de 5/8" x 8"</v>
      </c>
      <c r="C14" t="s">
        <v>3</v>
      </c>
      <c r="D14">
        <v>8</v>
      </c>
      <c r="E14">
        <v>8</v>
      </c>
    </row>
    <row r="15" spans="1:5" x14ac:dyDescent="0.25">
      <c r="A15" t="s">
        <v>1325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25">
      <c r="A16" t="s">
        <v>1174</v>
      </c>
      <c r="B16" t="str">
        <f t="shared" ref="B16" si="6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25">
      <c r="A17" t="s">
        <v>333</v>
      </c>
      <c r="B17" t="str">
        <f t="shared" ref="B17" si="7">VLOOKUP(A17,tmat,2,FALSE)</f>
        <v>Tuerca de Ojo de 5/8"</v>
      </c>
      <c r="C17" t="s">
        <v>3</v>
      </c>
      <c r="D17">
        <v>6</v>
      </c>
      <c r="E1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9A26FA-316D-4D59-8FBF-4BC9E34FB07C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99A0-1D4D-470A-80EE-F23792ABAC29}">
  <sheetPr codeName="Hoja98"/>
  <dimension ref="A1:E19"/>
  <sheetViews>
    <sheetView workbookViewId="0">
      <selection activeCell="J14" sqref="J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376</v>
      </c>
      <c r="B4" t="str">
        <f t="shared" ref="B4:B10" si="1">VLOOKUP(A4,tmat,2,FALSE)</f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35</v>
      </c>
      <c r="E5">
        <v>35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15</v>
      </c>
      <c r="E6">
        <v>15</v>
      </c>
    </row>
    <row r="7" spans="1:5" x14ac:dyDescent="0.25">
      <c r="A7" t="s">
        <v>389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1322</v>
      </c>
      <c r="B8" t="str">
        <f t="shared" si="1"/>
        <v>Crucete de Madera Curada de 4" x 5" x 120"</v>
      </c>
      <c r="C8" t="s">
        <v>3</v>
      </c>
      <c r="D8">
        <v>3</v>
      </c>
      <c r="E8">
        <v>3</v>
      </c>
    </row>
    <row r="9" spans="1:5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25">
      <c r="A11" t="s">
        <v>335</v>
      </c>
      <c r="B11" t="str">
        <f t="shared" ref="B11:B16" si="3">VLOOKUP(A11,tmat,2,FALSE)</f>
        <v>Grapa Terminal tipo Recto para Conductor (1/0 - 4/0)</v>
      </c>
      <c r="C11" t="s">
        <v>3</v>
      </c>
      <c r="D11">
        <v>3</v>
      </c>
      <c r="E11">
        <v>3</v>
      </c>
    </row>
    <row r="12" spans="1:5" x14ac:dyDescent="0.25">
      <c r="A12" t="s">
        <v>1326</v>
      </c>
      <c r="B12" t="str">
        <f t="shared" ref="B12:B14" si="4">VLOOKUP(A12,tmat,2,FALSE)</f>
        <v>Puntal Angular de 50", 1-3/4" x 1-3/4" x 3/16"</v>
      </c>
      <c r="C12" t="s">
        <v>3</v>
      </c>
      <c r="D12">
        <v>6</v>
      </c>
      <c r="E12">
        <v>6</v>
      </c>
    </row>
    <row r="13" spans="1:5" x14ac:dyDescent="0.25">
      <c r="A13" t="s">
        <v>1323</v>
      </c>
      <c r="B13" t="str">
        <f t="shared" si="4"/>
        <v>Placa de Refuerzo 3/16" x 4" x 5", Ø=13/16"</v>
      </c>
      <c r="C13" t="s">
        <v>3</v>
      </c>
      <c r="D13">
        <v>3</v>
      </c>
      <c r="E13">
        <v>3</v>
      </c>
    </row>
    <row r="14" spans="1:5" x14ac:dyDescent="0.25">
      <c r="A14" t="s">
        <v>340</v>
      </c>
      <c r="B14" t="str">
        <f t="shared" si="4"/>
        <v>Perno de Máquina de 5/8" x 8"</v>
      </c>
      <c r="C14" t="s">
        <v>3</v>
      </c>
      <c r="D14">
        <v>6</v>
      </c>
      <c r="E14">
        <v>6</v>
      </c>
    </row>
    <row r="15" spans="1:5" x14ac:dyDescent="0.25">
      <c r="A15" t="s">
        <v>1324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25">
      <c r="A16" t="s">
        <v>1325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25">
      <c r="A17" t="s">
        <v>1174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25">
      <c r="A18" t="s">
        <v>333</v>
      </c>
      <c r="B18" t="str">
        <f t="shared" ref="B18" si="7">VLOOKUP(A18,tmat,2,FALSE)</f>
        <v>Tuerca de Ojo de 5/8"</v>
      </c>
      <c r="C18" t="s">
        <v>3</v>
      </c>
      <c r="D18">
        <v>3</v>
      </c>
      <c r="E18">
        <v>3</v>
      </c>
    </row>
    <row r="19" spans="1:5" x14ac:dyDescent="0.25">
      <c r="A19" t="s">
        <v>441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75BB75-1990-4581-91A6-D48473272941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0E38-4096-4F2A-89C3-92603CAD67F7}">
  <sheetPr codeName="Hoja99"/>
  <dimension ref="A1:E19"/>
  <sheetViews>
    <sheetView workbookViewId="0">
      <selection activeCell="A14" sqref="A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376</v>
      </c>
      <c r="B4" t="str">
        <f t="shared" ref="B4:B10" si="1">VLOOKUP(A4,tmat,2,FALSE)</f>
        <v>Aislador de Suspensión ANSI C 52-9</v>
      </c>
      <c r="C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30</v>
      </c>
      <c r="E5">
        <v>30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5</v>
      </c>
      <c r="E6">
        <v>5</v>
      </c>
    </row>
    <row r="7" spans="1:5" x14ac:dyDescent="0.25">
      <c r="A7" t="s">
        <v>389</v>
      </c>
      <c r="B7" t="str">
        <f t="shared" ref="B7" si="2">VLOOKUP(A7,tmat,2,FALSE)</f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1322</v>
      </c>
      <c r="B8" t="str">
        <f t="shared" si="1"/>
        <v>Crucete de Madera Curada de 4" x 5" x 120"</v>
      </c>
      <c r="C8" t="s">
        <v>3</v>
      </c>
      <c r="D8">
        <v>1</v>
      </c>
      <c r="E8">
        <v>1</v>
      </c>
    </row>
    <row r="9" spans="1:5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25">
      <c r="A11" t="s">
        <v>335</v>
      </c>
      <c r="B11" t="str">
        <f t="shared" ref="B11:B16" si="3">VLOOKUP(A11,tmat,2,FALSE)</f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25">
      <c r="A12" t="s">
        <v>1326</v>
      </c>
      <c r="B12" t="str">
        <f t="shared" ref="B12:B14" si="4">VLOOKUP(A12,tmat,2,FALSE)</f>
        <v>Puntal Angular de 50", 1-3/4" x 1-3/4" x 3/16"</v>
      </c>
      <c r="C12" t="s">
        <v>3</v>
      </c>
      <c r="D12">
        <v>2</v>
      </c>
      <c r="E12">
        <v>2</v>
      </c>
    </row>
    <row r="13" spans="1:5" x14ac:dyDescent="0.25">
      <c r="A13" t="s">
        <v>1323</v>
      </c>
      <c r="B13" t="str">
        <f t="shared" si="4"/>
        <v>Placa de Refuerzo 3/16" x 4" x 5", Ø=13/16"</v>
      </c>
      <c r="C13" t="s">
        <v>3</v>
      </c>
      <c r="D13">
        <v>1</v>
      </c>
      <c r="E13">
        <v>1</v>
      </c>
    </row>
    <row r="14" spans="1:5" x14ac:dyDescent="0.25">
      <c r="A14" t="s">
        <v>340</v>
      </c>
      <c r="B14" t="str">
        <f t="shared" si="4"/>
        <v>Perno de Máquina de 5/8" x 8"</v>
      </c>
      <c r="C14" t="s">
        <v>3</v>
      </c>
      <c r="D14">
        <v>2</v>
      </c>
      <c r="E14">
        <v>2</v>
      </c>
    </row>
    <row r="15" spans="1:5" x14ac:dyDescent="0.25">
      <c r="A15" t="s">
        <v>1324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25">
      <c r="A16" t="s">
        <v>418</v>
      </c>
      <c r="B16" t="str">
        <f t="shared" si="3"/>
        <v>Perno de Rosca Corrida 5/8" x 16"</v>
      </c>
      <c r="C16" t="s">
        <v>3</v>
      </c>
      <c r="D16">
        <v>1</v>
      </c>
      <c r="E16">
        <v>1</v>
      </c>
    </row>
    <row r="17" spans="1:5" x14ac:dyDescent="0.25">
      <c r="A17" t="s">
        <v>1174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25">
      <c r="A18" t="s">
        <v>333</v>
      </c>
      <c r="B18" t="str">
        <f t="shared" ref="B18" si="7">VLOOKUP(A18,tmat,2,FALSE)</f>
        <v>Tuerca de Ojo de 5/8"</v>
      </c>
      <c r="C18" t="s">
        <v>3</v>
      </c>
      <c r="D18">
        <v>3</v>
      </c>
      <c r="E18">
        <v>3</v>
      </c>
    </row>
    <row r="19" spans="1:5" x14ac:dyDescent="0.25">
      <c r="A19" t="s">
        <v>441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FFAE72-F2F3-48A9-B90D-6563E82D5FE8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2BC7-B79E-497A-97E0-BA7D57420FDB}">
  <sheetPr codeName="Hoja100"/>
  <dimension ref="A1:E19"/>
  <sheetViews>
    <sheetView workbookViewId="0">
      <selection activeCell="D21" sqref="D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376</v>
      </c>
      <c r="B4" t="str">
        <f t="shared" ref="B4:B10" si="1">VLOOKUP(A4,tmat,2,FALSE)</f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35</v>
      </c>
      <c r="E5">
        <v>35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15</v>
      </c>
      <c r="E6">
        <v>15</v>
      </c>
    </row>
    <row r="7" spans="1:5" x14ac:dyDescent="0.25">
      <c r="A7" t="s">
        <v>389</v>
      </c>
      <c r="B7" t="str">
        <f t="shared" ref="B7" si="2">VLOOKUP(A7,tmat,2,FALSE)</f>
        <v>Conector de Compresión YC 25A25 (1/0-1/0)</v>
      </c>
      <c r="C7" t="s">
        <v>3</v>
      </c>
      <c r="D7">
        <v>2</v>
      </c>
      <c r="E7">
        <v>2</v>
      </c>
    </row>
    <row r="8" spans="1:5" x14ac:dyDescent="0.25">
      <c r="A8" t="s">
        <v>1322</v>
      </c>
      <c r="B8" t="str">
        <f t="shared" si="1"/>
        <v>Crucete de Madera Curada de 4" x 5" x 120"</v>
      </c>
      <c r="C8" t="s">
        <v>3</v>
      </c>
      <c r="D8">
        <v>3</v>
      </c>
      <c r="E8">
        <v>3</v>
      </c>
    </row>
    <row r="9" spans="1:5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25">
      <c r="A11" t="s">
        <v>335</v>
      </c>
      <c r="B11" t="str">
        <f t="shared" ref="B11:B16" si="3">VLOOKUP(A11,tmat,2,FALSE)</f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25">
      <c r="A12" t="s">
        <v>1326</v>
      </c>
      <c r="B12" t="str">
        <f t="shared" ref="B12:B14" si="4">VLOOKUP(A12,tmat,2,FALSE)</f>
        <v>Puntal Angular de 50", 1-3/4" x 1-3/4" x 3/16"</v>
      </c>
      <c r="C12" t="s">
        <v>3</v>
      </c>
      <c r="D12">
        <v>6</v>
      </c>
      <c r="E12">
        <v>6</v>
      </c>
    </row>
    <row r="13" spans="1:5" x14ac:dyDescent="0.25">
      <c r="A13" t="s">
        <v>1323</v>
      </c>
      <c r="B13" t="str">
        <f t="shared" si="4"/>
        <v>Placa de Refuerzo 3/16" x 4" x 5", Ø=13/16"</v>
      </c>
      <c r="C13" t="s">
        <v>3</v>
      </c>
      <c r="D13">
        <v>3</v>
      </c>
      <c r="E13">
        <v>3</v>
      </c>
    </row>
    <row r="14" spans="1:5" x14ac:dyDescent="0.25">
      <c r="A14" t="s">
        <v>340</v>
      </c>
      <c r="B14" t="str">
        <f t="shared" si="4"/>
        <v>Perno de Máquina de 5/8" x 8"</v>
      </c>
      <c r="C14" t="s">
        <v>3</v>
      </c>
      <c r="D14">
        <v>6</v>
      </c>
      <c r="E14">
        <v>6</v>
      </c>
    </row>
    <row r="15" spans="1:5" x14ac:dyDescent="0.25">
      <c r="A15" t="s">
        <v>1324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25">
      <c r="A16" t="s">
        <v>1325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25">
      <c r="A17" t="s">
        <v>1174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25">
      <c r="A18" t="s">
        <v>333</v>
      </c>
      <c r="B18" t="str">
        <f t="shared" ref="B18" si="7">VLOOKUP(A18,tmat,2,FALSE)</f>
        <v>Tuerca de Ojo de 5/8"</v>
      </c>
      <c r="C18" t="s">
        <v>3</v>
      </c>
      <c r="D18">
        <v>2</v>
      </c>
      <c r="E18">
        <v>2</v>
      </c>
    </row>
    <row r="19" spans="1:5" x14ac:dyDescent="0.25">
      <c r="A19" t="s">
        <v>441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CCCE3E-FCCF-4D68-B2AB-CA67F6B9FD30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1898-88C8-47E4-B00A-DF6D1F67DA1C}">
  <sheetPr codeName="Hoja101"/>
  <dimension ref="A1:E18"/>
  <sheetViews>
    <sheetView workbookViewId="0">
      <selection activeCell="E26" sqref="E2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7</v>
      </c>
      <c r="E3">
        <v>0</v>
      </c>
    </row>
    <row r="4" spans="1:5" x14ac:dyDescent="0.25">
      <c r="A4" t="s">
        <v>376</v>
      </c>
      <c r="B4" t="str">
        <f t="shared" ref="B4:B10" si="1">VLOOKUP(A4,tmat,2,FALSE)</f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35</v>
      </c>
      <c r="E5">
        <v>35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25">
      <c r="A7" t="s">
        <v>389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1322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7</v>
      </c>
    </row>
    <row r="10" spans="1:5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7</v>
      </c>
      <c r="E10">
        <v>0</v>
      </c>
    </row>
    <row r="11" spans="1:5" x14ac:dyDescent="0.25">
      <c r="A11" t="s">
        <v>335</v>
      </c>
      <c r="B11" t="str">
        <f t="shared" ref="B11:B15" si="3">VLOOKUP(A11,tmat,2,FALSE)</f>
        <v>Grapa Terminal tipo Recto para Conductor (1/0 - 4/0)</v>
      </c>
      <c r="C11" t="s">
        <v>3</v>
      </c>
      <c r="D11">
        <v>3</v>
      </c>
      <c r="E11">
        <v>3</v>
      </c>
    </row>
    <row r="12" spans="1:5" x14ac:dyDescent="0.25">
      <c r="A12" t="s">
        <v>1326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25">
      <c r="A13" t="s">
        <v>1323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25">
      <c r="A14" t="s">
        <v>340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25">
      <c r="A15" t="s">
        <v>1325</v>
      </c>
      <c r="B15" t="str">
        <f t="shared" si="3"/>
        <v>Perno de Rosca Corrida 5/8" x 22"</v>
      </c>
      <c r="C15" t="s">
        <v>3</v>
      </c>
      <c r="D15">
        <v>4</v>
      </c>
      <c r="E15">
        <v>4</v>
      </c>
    </row>
    <row r="16" spans="1:5" x14ac:dyDescent="0.25">
      <c r="A16" t="s">
        <v>1174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25">
      <c r="A17" t="s">
        <v>333</v>
      </c>
      <c r="B17" t="str">
        <f t="shared" ref="B17" si="6">VLOOKUP(A17,tmat,2,FALSE)</f>
        <v>Tuerca de Ojo de 5/8"</v>
      </c>
      <c r="C17" t="s">
        <v>3</v>
      </c>
      <c r="D17">
        <v>3</v>
      </c>
      <c r="E17">
        <v>3</v>
      </c>
    </row>
    <row r="18" spans="1:5" x14ac:dyDescent="0.25">
      <c r="A18" t="s">
        <v>441</v>
      </c>
      <c r="B18" t="str">
        <f t="shared" ref="B18" si="7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3B1455-3634-4F69-AC5A-B2A49C26DF42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2431-A7E3-4EEE-9BB8-781AC3F4FA87}">
  <sheetPr codeName="Hoja102"/>
  <dimension ref="A1:E19"/>
  <sheetViews>
    <sheetView workbookViewId="0">
      <selection activeCell="D19" sqref="D1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6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6</v>
      </c>
      <c r="E3">
        <v>0</v>
      </c>
    </row>
    <row r="4" spans="1:5" x14ac:dyDescent="0.25">
      <c r="A4" t="s">
        <v>376</v>
      </c>
      <c r="B4" t="str">
        <f t="shared" ref="B4:B10" si="1">VLOOKUP(A4,tmat,2,FALSE)</f>
        <v>Aislador de Suspensión ANSI C 52-9</v>
      </c>
      <c r="C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30</v>
      </c>
      <c r="E5">
        <v>30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25">
      <c r="A7" t="s">
        <v>389</v>
      </c>
      <c r="B7" t="str">
        <f t="shared" ref="B7" si="2">VLOOKUP(A7,tmat,2,FALSE)</f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1322</v>
      </c>
      <c r="B8" t="str">
        <f t="shared" si="1"/>
        <v>Crucete de Madera Curada de 4" x 5" x 120"</v>
      </c>
      <c r="C8" t="s">
        <v>3</v>
      </c>
      <c r="D8">
        <v>2</v>
      </c>
      <c r="E8">
        <v>2</v>
      </c>
    </row>
    <row r="9" spans="1:5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6</v>
      </c>
    </row>
    <row r="10" spans="1:5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6</v>
      </c>
      <c r="E10">
        <v>0</v>
      </c>
    </row>
    <row r="11" spans="1:5" x14ac:dyDescent="0.25">
      <c r="A11" t="s">
        <v>335</v>
      </c>
      <c r="B11" t="str">
        <f t="shared" ref="B11:B16" si="3">VLOOKUP(A11,tmat,2,FALSE)</f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25">
      <c r="A12" t="s">
        <v>1326</v>
      </c>
      <c r="B12" t="str">
        <f t="shared" ref="B12:B15" si="4">VLOOKUP(A12,tmat,2,FALSE)</f>
        <v>Puntal Angular de 50", 1-3/4" x 1-3/4" x 3/16"</v>
      </c>
      <c r="C12" t="s">
        <v>3</v>
      </c>
      <c r="D12">
        <v>4</v>
      </c>
      <c r="E12">
        <v>4</v>
      </c>
    </row>
    <row r="13" spans="1:5" x14ac:dyDescent="0.25">
      <c r="A13" t="s">
        <v>1323</v>
      </c>
      <c r="B13" t="str">
        <f t="shared" si="4"/>
        <v>Placa de Refuerzo 3/16" x 4" x 5", Ø=13/16"</v>
      </c>
      <c r="C13" t="s">
        <v>3</v>
      </c>
      <c r="D13">
        <v>2</v>
      </c>
      <c r="E13">
        <v>2</v>
      </c>
    </row>
    <row r="14" spans="1:5" x14ac:dyDescent="0.25">
      <c r="A14" t="s">
        <v>340</v>
      </c>
      <c r="B14" t="str">
        <f t="shared" si="4"/>
        <v>Perno de Máquina de 5/8" x 8"</v>
      </c>
      <c r="C14" t="s">
        <v>3</v>
      </c>
      <c r="D14">
        <v>4</v>
      </c>
      <c r="E14">
        <v>4</v>
      </c>
    </row>
    <row r="15" spans="1:5" x14ac:dyDescent="0.25">
      <c r="A15" t="s">
        <v>418</v>
      </c>
      <c r="B15" t="str">
        <f t="shared" si="4"/>
        <v>Perno de Rosca Corrida 5/8" x 16"</v>
      </c>
      <c r="C15" t="s">
        <v>3</v>
      </c>
      <c r="D15">
        <v>1</v>
      </c>
      <c r="E15">
        <v>1</v>
      </c>
    </row>
    <row r="16" spans="1:5" x14ac:dyDescent="0.25">
      <c r="A16" t="s">
        <v>1325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25">
      <c r="A17" t="s">
        <v>1174</v>
      </c>
      <c r="B17" t="str">
        <f t="shared" ref="B17" si="5">VLOOKUP(A17,tmat,2,FALSE)</f>
        <v>Perno de Máquina de 1/2" x 10"</v>
      </c>
      <c r="C17" t="s">
        <v>3</v>
      </c>
      <c r="D17">
        <v>1</v>
      </c>
      <c r="E17">
        <v>1</v>
      </c>
    </row>
    <row r="18" spans="1:5" x14ac:dyDescent="0.25">
      <c r="A18" t="s">
        <v>333</v>
      </c>
      <c r="B18" t="str">
        <f t="shared" ref="B18" si="6">VLOOKUP(A18,tmat,2,FALSE)</f>
        <v>Tuerca de Ojo de 5/8"</v>
      </c>
      <c r="C18" t="s">
        <v>3</v>
      </c>
      <c r="D18">
        <v>1</v>
      </c>
      <c r="E18">
        <v>1</v>
      </c>
    </row>
    <row r="19" spans="1:5" x14ac:dyDescent="0.25">
      <c r="A19" t="s">
        <v>441</v>
      </c>
      <c r="B19" t="str">
        <f t="shared" ref="B19" si="7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399BA1-7749-480D-8E68-E7F092FC6804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52F6-ABD2-410F-AE76-3E21ADA3050F}">
  <sheetPr codeName="Hoja103"/>
  <dimension ref="A1:E18"/>
  <sheetViews>
    <sheetView workbookViewId="0">
      <selection activeCell="D18" sqref="D1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7</v>
      </c>
      <c r="E3">
        <v>0</v>
      </c>
    </row>
    <row r="4" spans="1:5" x14ac:dyDescent="0.25">
      <c r="A4" t="s">
        <v>376</v>
      </c>
      <c r="B4" t="str">
        <f t="shared" ref="B4:B10" si="1">VLOOKUP(A4,tmat,2,FALSE)</f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35</v>
      </c>
      <c r="E5">
        <v>35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25">
      <c r="A7" t="s">
        <v>389</v>
      </c>
      <c r="B7" t="str">
        <f t="shared" ref="B7" si="2">VLOOKUP(A7,tmat,2,FALSE)</f>
        <v>Conector de Compresión YC 25A25 (1/0-1/0)</v>
      </c>
      <c r="C7" t="s">
        <v>3</v>
      </c>
      <c r="D7">
        <v>2</v>
      </c>
      <c r="E7">
        <v>2</v>
      </c>
    </row>
    <row r="8" spans="1:5" x14ac:dyDescent="0.25">
      <c r="A8" t="s">
        <v>1322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7</v>
      </c>
    </row>
    <row r="10" spans="1:5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7</v>
      </c>
      <c r="E10">
        <v>0</v>
      </c>
    </row>
    <row r="11" spans="1:5" x14ac:dyDescent="0.25">
      <c r="A11" t="s">
        <v>335</v>
      </c>
      <c r="B11" t="str">
        <f t="shared" ref="B11:B15" si="3">VLOOKUP(A11,tmat,2,FALSE)</f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25">
      <c r="A12" t="s">
        <v>1326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25">
      <c r="A13" t="s">
        <v>1323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25">
      <c r="A14" t="s">
        <v>340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25">
      <c r="A15" t="s">
        <v>1325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25">
      <c r="A16" t="s">
        <v>1174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25">
      <c r="A17" t="s">
        <v>333</v>
      </c>
      <c r="B17" t="str">
        <f t="shared" ref="B17" si="6">VLOOKUP(A17,tmat,2,FALSE)</f>
        <v>Tuerca de Ojo de 5/8"</v>
      </c>
      <c r="C17" t="s">
        <v>3</v>
      </c>
      <c r="D17">
        <v>2</v>
      </c>
      <c r="E17">
        <v>2</v>
      </c>
    </row>
    <row r="18" spans="1:5" x14ac:dyDescent="0.25">
      <c r="A18" t="s">
        <v>441</v>
      </c>
      <c r="B18" t="str">
        <f t="shared" ref="B18" si="7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FCA294-6B01-45E6-BF3E-9B5DF7C70B13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644B-EB9E-4854-8AB9-CC4844F4524C}">
  <sheetPr codeName="Hoja104"/>
  <dimension ref="A1:E17"/>
  <sheetViews>
    <sheetView workbookViewId="0">
      <selection activeCell="J12" sqref="J1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376</v>
      </c>
      <c r="B4" t="str">
        <f t="shared" ref="B4:B10" si="1">VLOOKUP(A4,tmat,2,FALSE)</f>
        <v>Aislador de Suspensión ANSI C 52-9</v>
      </c>
      <c r="C4" t="s">
        <v>3</v>
      </c>
      <c r="D4">
        <v>27</v>
      </c>
      <c r="E4">
        <v>18</v>
      </c>
    </row>
    <row r="5" spans="1:5" x14ac:dyDescent="0.25">
      <c r="A5" t="s">
        <v>5</v>
      </c>
      <c r="B5" t="str">
        <f t="shared" si="1"/>
        <v>Alambre de Amarre N° 6</v>
      </c>
      <c r="C5" t="s">
        <v>1227</v>
      </c>
      <c r="D5">
        <v>20</v>
      </c>
      <c r="E5">
        <v>20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25">
      <c r="A7" t="s">
        <v>389</v>
      </c>
      <c r="B7" t="str">
        <f t="shared" ref="B7" si="2">VLOOKUP(A7,tmat,2,FALSE)</f>
        <v>Conector de Compresión YC 25A25 (1/0-1/0)</v>
      </c>
      <c r="C7" t="s">
        <v>3</v>
      </c>
      <c r="D7">
        <v>6</v>
      </c>
      <c r="E7">
        <v>6</v>
      </c>
    </row>
    <row r="8" spans="1:5" x14ac:dyDescent="0.25">
      <c r="A8" t="s">
        <v>1322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25">
      <c r="A11" t="s">
        <v>335</v>
      </c>
      <c r="B11" t="str">
        <f t="shared" ref="B11:B15" si="3">VLOOKUP(A11,tmat,2,FALSE)</f>
        <v>Grapa Terminal tipo Recto para Conductor (1/0 - 4/0)</v>
      </c>
      <c r="C11" t="s">
        <v>3</v>
      </c>
      <c r="D11">
        <v>9</v>
      </c>
      <c r="E11">
        <v>9</v>
      </c>
    </row>
    <row r="12" spans="1:5" x14ac:dyDescent="0.25">
      <c r="A12" t="s">
        <v>1326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25">
      <c r="A13" t="s">
        <v>1323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25">
      <c r="A14" t="s">
        <v>340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25">
      <c r="A15" t="s">
        <v>1325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25">
      <c r="A16" t="s">
        <v>1174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25">
      <c r="A17" t="s">
        <v>333</v>
      </c>
      <c r="B17" t="str">
        <f t="shared" ref="B17" si="6">VLOOKUP(A17,tmat,2,FALSE)</f>
        <v>Tuerca de Ojo de 5/8"</v>
      </c>
      <c r="C17" t="s">
        <v>3</v>
      </c>
      <c r="D17">
        <v>9</v>
      </c>
      <c r="E17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88C170-C723-4BB0-A41C-E7714C651095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6AC9-785B-4BA1-8E6B-BEF7E2C77725}">
  <sheetPr codeName="Hoja201"/>
  <dimension ref="A1:J14"/>
  <sheetViews>
    <sheetView zoomScale="90" zoomScaleNormal="90" workbookViewId="0">
      <selection activeCell="C20" sqref="C20"/>
    </sheetView>
  </sheetViews>
  <sheetFormatPr baseColWidth="10" defaultRowHeight="15" x14ac:dyDescent="0.25"/>
  <cols>
    <col min="2" max="2" width="57.5703125" customWidth="1"/>
  </cols>
  <sheetData>
    <row r="1" spans="1:10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10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2</v>
      </c>
      <c r="E2">
        <v>8</v>
      </c>
    </row>
    <row r="3" spans="1:10" x14ac:dyDescent="0.25">
      <c r="A3" t="s">
        <v>4</v>
      </c>
      <c r="B3" t="str">
        <f t="shared" si="0"/>
        <v>Aislador de Espiga ANSI C 56-3</v>
      </c>
      <c r="C3" t="s">
        <v>3</v>
      </c>
      <c r="D3">
        <v>6</v>
      </c>
      <c r="E3">
        <v>0</v>
      </c>
    </row>
    <row r="4" spans="1:10" x14ac:dyDescent="0.25">
      <c r="A4" t="s">
        <v>5</v>
      </c>
      <c r="B4" t="str">
        <f t="shared" ref="B4:B10" si="1">VLOOKUP(A4,tmat,2,FALSE)</f>
        <v>Alambre de Amarre N° 6</v>
      </c>
      <c r="C4" t="s">
        <v>1227</v>
      </c>
      <c r="D4">
        <v>80</v>
      </c>
      <c r="E4">
        <v>80</v>
      </c>
    </row>
    <row r="5" spans="1:10" x14ac:dyDescent="0.25">
      <c r="A5" t="s">
        <v>6</v>
      </c>
      <c r="B5" t="str">
        <f t="shared" si="1"/>
        <v>Arandela Cuadrada 3/16" x 2-1/4" x 2-1/4", Ø=11/16"</v>
      </c>
      <c r="C5" t="s">
        <v>3</v>
      </c>
      <c r="D5">
        <v>2</v>
      </c>
      <c r="E5">
        <v>2</v>
      </c>
    </row>
    <row r="6" spans="1:10" x14ac:dyDescent="0.25">
      <c r="A6" t="s">
        <v>401</v>
      </c>
      <c r="B6" t="str">
        <f t="shared" si="1"/>
        <v>Crucete de Madera Curada de 4" x 5" x 96"</v>
      </c>
      <c r="C6" t="s">
        <v>3</v>
      </c>
      <c r="D6">
        <v>2</v>
      </c>
      <c r="E6">
        <v>2</v>
      </c>
    </row>
    <row r="7" spans="1:10" x14ac:dyDescent="0.25">
      <c r="A7" t="s">
        <v>337</v>
      </c>
      <c r="B7" t="str">
        <f t="shared" ref="B7" si="2">VLOOKUP(A7,tmat,2,FALSE)</f>
        <v>Espiga para Cruceta de Madera, L=6" Rosca 1", Φ = 3/4"</v>
      </c>
      <c r="C7" t="s">
        <v>3</v>
      </c>
      <c r="D7">
        <v>2</v>
      </c>
      <c r="E7">
        <v>8</v>
      </c>
    </row>
    <row r="8" spans="1:10" x14ac:dyDescent="0.25">
      <c r="A8" t="s">
        <v>338</v>
      </c>
      <c r="B8" t="str">
        <f t="shared" si="1"/>
        <v>Espiga para Cruceta de Madera, L=8" Rosca 1-3/8", Φ = 3/4"</v>
      </c>
      <c r="C8" t="s">
        <v>3</v>
      </c>
      <c r="D8">
        <v>6</v>
      </c>
      <c r="E8">
        <v>0</v>
      </c>
    </row>
    <row r="9" spans="1:10" x14ac:dyDescent="0.25">
      <c r="A9" t="s">
        <v>346</v>
      </c>
      <c r="B9" t="str">
        <f t="shared" si="1"/>
        <v>Perno de Carroceria 3/8" x 5"</v>
      </c>
      <c r="C9" t="s">
        <v>3</v>
      </c>
      <c r="D9">
        <v>4</v>
      </c>
      <c r="E9">
        <v>4</v>
      </c>
    </row>
    <row r="10" spans="1:10" x14ac:dyDescent="0.25">
      <c r="A10" t="s">
        <v>1324</v>
      </c>
      <c r="B10" t="str">
        <f t="shared" si="1"/>
        <v>Perno de Máquina de 5/8" x 16"</v>
      </c>
      <c r="C10" t="s">
        <v>3</v>
      </c>
      <c r="D10">
        <v>2</v>
      </c>
      <c r="E10">
        <v>2</v>
      </c>
    </row>
    <row r="11" spans="1:10" x14ac:dyDescent="0.25">
      <c r="A11" t="s">
        <v>1323</v>
      </c>
      <c r="B11" t="str">
        <f t="shared" ref="B11" si="3">VLOOKUP(A11,tmat,2,FALSE)</f>
        <v>Placa de Refuerzo 3/16" x 4" x 5", Ø=13/16"</v>
      </c>
      <c r="C11" t="s">
        <v>3</v>
      </c>
      <c r="D11">
        <v>2</v>
      </c>
      <c r="E11">
        <v>2</v>
      </c>
    </row>
    <row r="12" spans="1:10" x14ac:dyDescent="0.25">
      <c r="A12" t="s">
        <v>347</v>
      </c>
      <c r="B12" t="str">
        <f t="shared" ref="B12:B14" si="4">VLOOKUP(A12,tmat,2,FALSE)</f>
        <v>Tirante de Pletina de 1/4" x 1-1/4" x 30"</v>
      </c>
      <c r="C12" t="s">
        <v>3</v>
      </c>
      <c r="D12">
        <v>4</v>
      </c>
      <c r="E12">
        <v>4</v>
      </c>
      <c r="J12" t="s">
        <v>1450</v>
      </c>
    </row>
    <row r="13" spans="1:10" x14ac:dyDescent="0.25">
      <c r="A13" t="s">
        <v>1174</v>
      </c>
      <c r="B13" t="str">
        <f t="shared" si="4"/>
        <v>Perno de Máquina de 1/2" x 10"</v>
      </c>
      <c r="C13" t="s">
        <v>3</v>
      </c>
      <c r="D13">
        <v>2</v>
      </c>
      <c r="E13">
        <v>2</v>
      </c>
    </row>
    <row r="14" spans="1:10" x14ac:dyDescent="0.25">
      <c r="A14" t="s">
        <v>1451</v>
      </c>
      <c r="B14" t="str">
        <f t="shared" si="4"/>
        <v>Varilla de Armar Preformado para Cable ASCR 266.8 MCM</v>
      </c>
      <c r="C14" t="s">
        <v>3</v>
      </c>
      <c r="D14">
        <v>8</v>
      </c>
      <c r="E14">
        <v>8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FABFC8-F523-41C8-B101-B3DF4DDF1B36}">
          <x14:formula1>
            <xm:f>Materiales!$B$2:$B$259</xm:f>
          </x14:formula1>
          <xm:sqref>A2:A14</xm:sqref>
        </x14:dataValidation>
      </x14:dataValidation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4E13-84CA-4D08-ABB6-EE54C6904176}">
  <sheetPr codeName="Hoja202"/>
  <dimension ref="A1:J17"/>
  <sheetViews>
    <sheetView zoomScale="90" zoomScaleNormal="90" workbookViewId="0">
      <selection activeCell="B22" sqref="B22"/>
    </sheetView>
  </sheetViews>
  <sheetFormatPr baseColWidth="10" defaultRowHeight="15" x14ac:dyDescent="0.25"/>
  <cols>
    <col min="2" max="2" width="57.5703125" customWidth="1"/>
  </cols>
  <sheetData>
    <row r="1" spans="1:10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10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4</v>
      </c>
      <c r="E2">
        <v>16</v>
      </c>
    </row>
    <row r="3" spans="1:10" x14ac:dyDescent="0.25">
      <c r="A3" t="s">
        <v>4</v>
      </c>
      <c r="B3" t="str">
        <f t="shared" si="0"/>
        <v>Aislador de Espiga ANSI C 56-3</v>
      </c>
      <c r="C3" t="s">
        <v>3</v>
      </c>
      <c r="D3">
        <v>12</v>
      </c>
      <c r="E3">
        <v>0</v>
      </c>
    </row>
    <row r="4" spans="1:10" x14ac:dyDescent="0.25">
      <c r="A4" t="s">
        <v>5</v>
      </c>
      <c r="B4" t="str">
        <f t="shared" ref="B4:B11" si="1">VLOOKUP(A4,tmat,2,FALSE)</f>
        <v>Alambre de Amarre N° 6</v>
      </c>
      <c r="C4" t="s">
        <v>1227</v>
      </c>
      <c r="D4">
        <v>80</v>
      </c>
      <c r="E4">
        <v>80</v>
      </c>
    </row>
    <row r="5" spans="1:10" x14ac:dyDescent="0.25">
      <c r="A5" t="s">
        <v>6</v>
      </c>
      <c r="B5" t="str">
        <f t="shared" si="1"/>
        <v>Arandela Cuadrada 3/16" x 2-1/4" x 2-1/4", Ø=11/16"</v>
      </c>
      <c r="C5" t="s">
        <v>3</v>
      </c>
      <c r="D5">
        <v>16</v>
      </c>
      <c r="E5">
        <v>16</v>
      </c>
    </row>
    <row r="6" spans="1:10" x14ac:dyDescent="0.25">
      <c r="A6" t="s">
        <v>401</v>
      </c>
      <c r="B6" t="str">
        <f t="shared" si="1"/>
        <v>Crucete de Madera Curada de 4" x 5" x 96"</v>
      </c>
      <c r="C6" t="s">
        <v>3</v>
      </c>
      <c r="D6">
        <v>4</v>
      </c>
      <c r="E6">
        <v>4</v>
      </c>
    </row>
    <row r="7" spans="1:10" x14ac:dyDescent="0.25">
      <c r="A7" t="s">
        <v>337</v>
      </c>
      <c r="B7" t="str">
        <f t="shared" ref="B7" si="2">VLOOKUP(A7,tmat,2,FALSE)</f>
        <v>Espiga para Cruceta de Madera, L=6" Rosca 1", Φ = 3/4"</v>
      </c>
      <c r="C7" t="s">
        <v>3</v>
      </c>
      <c r="D7">
        <v>4</v>
      </c>
      <c r="E7">
        <v>16</v>
      </c>
    </row>
    <row r="8" spans="1:10" x14ac:dyDescent="0.25">
      <c r="A8" t="s">
        <v>338</v>
      </c>
      <c r="B8" t="str">
        <f t="shared" si="1"/>
        <v>Espiga para Cruceta de Madera, L=8" Rosca 1-3/8", Φ = 3/4"</v>
      </c>
      <c r="C8" t="s">
        <v>3</v>
      </c>
      <c r="D8">
        <v>12</v>
      </c>
      <c r="E8">
        <v>0</v>
      </c>
    </row>
    <row r="9" spans="1:10" x14ac:dyDescent="0.25">
      <c r="A9" t="s">
        <v>346</v>
      </c>
      <c r="B9" t="str">
        <f t="shared" si="1"/>
        <v>Perno de Carroceria 3/8" x 5"</v>
      </c>
      <c r="C9" t="s">
        <v>3</v>
      </c>
      <c r="D9">
        <v>8</v>
      </c>
      <c r="E9">
        <v>8</v>
      </c>
    </row>
    <row r="10" spans="1:10" x14ac:dyDescent="0.25">
      <c r="A10" t="s">
        <v>423</v>
      </c>
      <c r="B10" t="str">
        <f t="shared" si="1"/>
        <v>Pletina Espaciadora para Crucete Madera 1/2" x 4" x 24"</v>
      </c>
      <c r="C10" t="s">
        <v>3</v>
      </c>
      <c r="D10">
        <v>4</v>
      </c>
      <c r="E10">
        <v>0</v>
      </c>
    </row>
    <row r="11" spans="1:10" x14ac:dyDescent="0.25">
      <c r="A11" t="s">
        <v>340</v>
      </c>
      <c r="B11" t="str">
        <f t="shared" si="1"/>
        <v>Perno de Máquina de 5/8" x 8"</v>
      </c>
      <c r="C11" t="s">
        <v>3</v>
      </c>
      <c r="D11">
        <v>10</v>
      </c>
      <c r="E11">
        <v>0</v>
      </c>
    </row>
    <row r="12" spans="1:10" x14ac:dyDescent="0.25">
      <c r="A12" t="s">
        <v>419</v>
      </c>
      <c r="B12" t="str">
        <f t="shared" ref="B12" si="3">VLOOKUP(A12,tmat,2,FALSE)</f>
        <v>Perno de Rosca Corrida 5/8" x 20"</v>
      </c>
      <c r="C12" t="s">
        <v>3</v>
      </c>
      <c r="D12">
        <v>3</v>
      </c>
      <c r="E12">
        <v>3</v>
      </c>
    </row>
    <row r="13" spans="1:10" x14ac:dyDescent="0.25">
      <c r="A13" t="s">
        <v>1325</v>
      </c>
      <c r="B13" t="str">
        <f t="shared" ref="B13:B17" si="4">VLOOKUP(A13,tmat,2,FALSE)</f>
        <v>Perno de Rosca Corrida 5/8" x 22"</v>
      </c>
      <c r="C13" t="s">
        <v>3</v>
      </c>
      <c r="D13">
        <v>3</v>
      </c>
      <c r="E13">
        <v>3</v>
      </c>
      <c r="J13" t="s">
        <v>1450</v>
      </c>
    </row>
    <row r="14" spans="1:10" x14ac:dyDescent="0.25">
      <c r="A14" t="s">
        <v>423</v>
      </c>
      <c r="B14" t="str">
        <f t="shared" si="4"/>
        <v>Pletina Espaciadora para Crucete Madera 1/2" x 4" x 24"</v>
      </c>
      <c r="C14" t="s">
        <v>3</v>
      </c>
      <c r="D14">
        <v>10</v>
      </c>
      <c r="E14">
        <v>0</v>
      </c>
    </row>
    <row r="15" spans="1:10" x14ac:dyDescent="0.25">
      <c r="A15" t="s">
        <v>347</v>
      </c>
      <c r="B15" t="str">
        <f t="shared" si="4"/>
        <v>Tirante de Pletina de 1/4" x 1-1/4" x 30"</v>
      </c>
      <c r="C15" t="s">
        <v>3</v>
      </c>
      <c r="D15">
        <v>8</v>
      </c>
      <c r="E15">
        <v>8</v>
      </c>
    </row>
    <row r="16" spans="1:10" x14ac:dyDescent="0.25">
      <c r="A16" t="s">
        <v>1174</v>
      </c>
      <c r="B16" t="str">
        <f t="shared" si="4"/>
        <v>Perno de Máquina de 1/2" x 10"</v>
      </c>
      <c r="C16" t="s">
        <v>3</v>
      </c>
      <c r="D16">
        <v>4</v>
      </c>
      <c r="E16">
        <v>4</v>
      </c>
    </row>
    <row r="17" spans="1:5" x14ac:dyDescent="0.25">
      <c r="A17" t="s">
        <v>1451</v>
      </c>
      <c r="B17" t="str">
        <f t="shared" si="4"/>
        <v>Varilla de Armar Preformado para Cable ASCR 266.8 MCM</v>
      </c>
      <c r="C17" t="s">
        <v>3</v>
      </c>
      <c r="D17">
        <v>8</v>
      </c>
      <c r="E17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783217-7C94-4089-89A6-D1D52036F438}">
          <x14:formula1>
            <xm:f>Materiales!$B$2:$B$259</xm:f>
          </x14:formula1>
          <xm:sqref>A2:A15</xm:sqref>
        </x14:dataValidation>
      </x14:dataValidation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AB4A-F18C-4CC0-A096-E9CCCA1E744A}">
  <sheetPr codeName="Hoja203"/>
  <dimension ref="A1:J21"/>
  <sheetViews>
    <sheetView zoomScale="90" zoomScaleNormal="90" workbookViewId="0">
      <selection activeCell="C28" sqref="C28"/>
    </sheetView>
  </sheetViews>
  <sheetFormatPr baseColWidth="10" defaultRowHeight="15" x14ac:dyDescent="0.25"/>
  <cols>
    <col min="2" max="2" width="57.5703125" customWidth="1"/>
  </cols>
  <sheetData>
    <row r="1" spans="1:10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10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6</v>
      </c>
    </row>
    <row r="3" spans="1:10" x14ac:dyDescent="0.25">
      <c r="A3" t="s">
        <v>4</v>
      </c>
      <c r="B3" t="str">
        <f t="shared" si="0"/>
        <v>Aislador de Espiga ANSI C 56-3</v>
      </c>
      <c r="C3" t="s">
        <v>3</v>
      </c>
      <c r="D3">
        <v>6</v>
      </c>
      <c r="E3">
        <v>0</v>
      </c>
    </row>
    <row r="4" spans="1:10" x14ac:dyDescent="0.25">
      <c r="A4" t="s">
        <v>1448</v>
      </c>
      <c r="B4" t="str">
        <f t="shared" ref="B4:B12" si="1">VLOOKUP(A4,tmat,2,FALSE)</f>
        <v>Aislador de Suspensión ANSI C 52-4</v>
      </c>
      <c r="C4" t="s">
        <v>3</v>
      </c>
      <c r="D4">
        <v>40</v>
      </c>
      <c r="E4">
        <v>28</v>
      </c>
    </row>
    <row r="5" spans="1:10" x14ac:dyDescent="0.25">
      <c r="A5" t="s">
        <v>5</v>
      </c>
      <c r="B5" t="str">
        <f t="shared" si="1"/>
        <v>Alambre de Amarre N° 6</v>
      </c>
      <c r="C5" t="s">
        <v>1227</v>
      </c>
      <c r="D5">
        <v>30</v>
      </c>
      <c r="E5">
        <v>30</v>
      </c>
    </row>
    <row r="6" spans="1:10" x14ac:dyDescent="0.25">
      <c r="A6" t="s">
        <v>6</v>
      </c>
      <c r="B6" t="str">
        <f t="shared" ref="B6" si="2">VLOOKUP(A6,tmat,2,FALSE)</f>
        <v>Arandela Cuadrada 3/16" x 2-1/4" x 2-1/4", Ø=11/16"</v>
      </c>
      <c r="C6" t="s">
        <v>3</v>
      </c>
      <c r="D6">
        <v>24</v>
      </c>
      <c r="E6">
        <v>24</v>
      </c>
    </row>
    <row r="7" spans="1:10" x14ac:dyDescent="0.25">
      <c r="A7" t="s">
        <v>1452</v>
      </c>
      <c r="B7" t="str">
        <f t="shared" si="1"/>
        <v>Conector de Compresión YPC 33R33R (266.8-266.8)</v>
      </c>
      <c r="C7" t="s">
        <v>3</v>
      </c>
      <c r="D7">
        <v>8</v>
      </c>
      <c r="E7">
        <v>8</v>
      </c>
    </row>
    <row r="8" spans="1:10" x14ac:dyDescent="0.25">
      <c r="A8" t="s">
        <v>401</v>
      </c>
      <c r="B8" t="str">
        <f t="shared" ref="B8" si="3">VLOOKUP(A8,tmat,2,FALSE)</f>
        <v>Crucete de Madera Curada de 4" x 5" x 96"</v>
      </c>
      <c r="C8" t="s">
        <v>3</v>
      </c>
      <c r="D8">
        <v>4</v>
      </c>
      <c r="E8">
        <v>4</v>
      </c>
    </row>
    <row r="9" spans="1:10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5</v>
      </c>
    </row>
    <row r="10" spans="1:10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5</v>
      </c>
      <c r="E10">
        <v>0</v>
      </c>
    </row>
    <row r="11" spans="1:10" x14ac:dyDescent="0.25">
      <c r="A11" t="s">
        <v>7</v>
      </c>
      <c r="B11" t="str">
        <f t="shared" si="1"/>
        <v>Espiga Punta de Poste tipo Recta, 34.5 KV, L=20" Rosca 1-3/8"</v>
      </c>
      <c r="C11" t="s">
        <v>3</v>
      </c>
      <c r="D11">
        <v>1</v>
      </c>
      <c r="E11">
        <v>0</v>
      </c>
    </row>
    <row r="12" spans="1:10" x14ac:dyDescent="0.25">
      <c r="A12" t="s">
        <v>8</v>
      </c>
      <c r="B12" t="str">
        <f t="shared" si="1"/>
        <v>Espiga Punta de Poste tipo Recta, 13.8 KV, L=18" Rosca 1"</v>
      </c>
      <c r="C12" t="s">
        <v>3</v>
      </c>
      <c r="D12">
        <v>0</v>
      </c>
      <c r="E12">
        <v>1</v>
      </c>
    </row>
    <row r="13" spans="1:10" x14ac:dyDescent="0.25">
      <c r="A13" t="s">
        <v>1449</v>
      </c>
      <c r="B13" t="str">
        <f t="shared" ref="B13" si="4">VLOOKUP(A13,tmat,2,FALSE)</f>
        <v>Grapa Terminal tipo Escuadra para Conductor (3/0 - 556)</v>
      </c>
      <c r="C13" t="s">
        <v>3</v>
      </c>
      <c r="D13">
        <v>16</v>
      </c>
      <c r="E13">
        <v>16</v>
      </c>
    </row>
    <row r="14" spans="1:10" x14ac:dyDescent="0.25">
      <c r="A14" t="s">
        <v>346</v>
      </c>
      <c r="B14" t="str">
        <f t="shared" ref="B14:B21" si="5">VLOOKUP(A14,tmat,2,FALSE)</f>
        <v>Perno de Carroceria 3/8" x 5"</v>
      </c>
      <c r="C14" t="s">
        <v>3</v>
      </c>
      <c r="D14">
        <v>8</v>
      </c>
      <c r="E14">
        <v>8</v>
      </c>
      <c r="J14" t="s">
        <v>1450</v>
      </c>
    </row>
    <row r="15" spans="1:10" x14ac:dyDescent="0.25">
      <c r="A15" t="s">
        <v>1323</v>
      </c>
      <c r="B15" t="str">
        <f t="shared" si="5"/>
        <v>Placa de Refuerzo 3/16" x 4" x 5", Ø=13/16"</v>
      </c>
      <c r="C15" t="s">
        <v>3</v>
      </c>
      <c r="D15">
        <v>4</v>
      </c>
      <c r="E15">
        <v>4</v>
      </c>
    </row>
    <row r="16" spans="1:10" x14ac:dyDescent="0.25">
      <c r="A16" t="s">
        <v>332</v>
      </c>
      <c r="B16" t="str">
        <f t="shared" si="5"/>
        <v>Perno de Máquina de 5/8" x 12"</v>
      </c>
      <c r="C16" t="s">
        <v>3</v>
      </c>
      <c r="D16">
        <v>2</v>
      </c>
      <c r="E16">
        <v>2</v>
      </c>
    </row>
    <row r="17" spans="1:5" x14ac:dyDescent="0.25">
      <c r="A17" t="s">
        <v>419</v>
      </c>
      <c r="B17" t="str">
        <f t="shared" si="5"/>
        <v>Perno de Rosca Corrida 5/8" x 20"</v>
      </c>
      <c r="C17" t="s">
        <v>3</v>
      </c>
      <c r="D17">
        <v>4</v>
      </c>
      <c r="E17">
        <v>4</v>
      </c>
    </row>
    <row r="18" spans="1:5" x14ac:dyDescent="0.25">
      <c r="A18" t="s">
        <v>1325</v>
      </c>
      <c r="B18" t="str">
        <f t="shared" si="5"/>
        <v>Perno de Rosca Corrida 5/8" x 22"</v>
      </c>
      <c r="C18" t="s">
        <v>3</v>
      </c>
      <c r="D18">
        <v>4</v>
      </c>
      <c r="E18">
        <v>4</v>
      </c>
    </row>
    <row r="19" spans="1:5" x14ac:dyDescent="0.25">
      <c r="A19" t="s">
        <v>347</v>
      </c>
      <c r="B19" t="str">
        <f t="shared" si="5"/>
        <v>Tirante de Pletina de 1/4" x 1-1/4" x 30"</v>
      </c>
      <c r="C19" t="s">
        <v>3</v>
      </c>
      <c r="D19">
        <v>8</v>
      </c>
      <c r="E19">
        <v>8</v>
      </c>
    </row>
    <row r="20" spans="1:5" x14ac:dyDescent="0.25">
      <c r="A20" t="s">
        <v>1174</v>
      </c>
      <c r="B20" t="str">
        <f t="shared" si="5"/>
        <v>Perno de Máquina de 1/2" x 10"</v>
      </c>
      <c r="C20" t="s">
        <v>3</v>
      </c>
      <c r="D20">
        <v>4</v>
      </c>
      <c r="E20">
        <v>4</v>
      </c>
    </row>
    <row r="21" spans="1:5" x14ac:dyDescent="0.25">
      <c r="A21" t="s">
        <v>333</v>
      </c>
      <c r="B21" t="str">
        <f t="shared" si="5"/>
        <v>Tuerca de Ojo de 5/8"</v>
      </c>
      <c r="C21" t="s">
        <v>3</v>
      </c>
      <c r="D21">
        <v>16</v>
      </c>
      <c r="E21">
        <v>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6C4C71-4A74-4EBC-86DA-326D9374E082}">
          <x14:formula1>
            <xm:f>Materiales!$B$2:$B$259</xm:f>
          </x14:formula1>
          <xm:sqref>A2:A21</xm:sqref>
        </x14:dataValidation>
      </x14:dataValidation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4C09-CAD8-47BA-A83B-664152B6C0EE}">
  <dimension ref="A1:J19"/>
  <sheetViews>
    <sheetView zoomScale="90" zoomScaleNormal="90" workbookViewId="0">
      <selection activeCell="E20" sqref="E20"/>
    </sheetView>
  </sheetViews>
  <sheetFormatPr baseColWidth="10" defaultRowHeight="15" x14ac:dyDescent="0.25"/>
  <cols>
    <col min="2" max="2" width="57.5703125" customWidth="1"/>
  </cols>
  <sheetData>
    <row r="1" spans="1:10" x14ac:dyDescent="0.25">
      <c r="A1" s="20" t="s">
        <v>847</v>
      </c>
      <c r="B1" s="20" t="s">
        <v>1</v>
      </c>
      <c r="C1" s="20" t="s">
        <v>2</v>
      </c>
      <c r="D1" s="21">
        <v>34.5</v>
      </c>
      <c r="E1" s="21">
        <v>13.8</v>
      </c>
    </row>
    <row r="2" spans="1:10" x14ac:dyDescent="0.25">
      <c r="A2" t="s">
        <v>336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10" x14ac:dyDescent="0.25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10" x14ac:dyDescent="0.25">
      <c r="A4" t="s">
        <v>1448</v>
      </c>
      <c r="B4" t="str">
        <f t="shared" ref="B4:B10" si="1">VLOOKUP(A4,tmat,2,FALSE)</f>
        <v>Aislador de Suspensión ANSI C 52-4</v>
      </c>
      <c r="C4" t="s">
        <v>3</v>
      </c>
      <c r="D4">
        <v>40</v>
      </c>
      <c r="E4">
        <v>28</v>
      </c>
    </row>
    <row r="5" spans="1:10" x14ac:dyDescent="0.25">
      <c r="A5" t="s">
        <v>5</v>
      </c>
      <c r="B5" t="str">
        <f t="shared" si="1"/>
        <v>Alambre de Amarre N° 6</v>
      </c>
      <c r="C5" t="s">
        <v>1227</v>
      </c>
      <c r="D5">
        <v>20</v>
      </c>
      <c r="E5">
        <v>20</v>
      </c>
    </row>
    <row r="6" spans="1:10" x14ac:dyDescent="0.25">
      <c r="A6" t="s">
        <v>6</v>
      </c>
      <c r="B6" t="str">
        <f t="shared" ref="B6" si="2">VLOOKUP(A6,tmat,2,FALSE)</f>
        <v>Arandela Cuadrada 3/16" x 2-1/4" x 2-1/4", Ø=11/16"</v>
      </c>
      <c r="C6" t="s">
        <v>3</v>
      </c>
      <c r="D6">
        <v>48</v>
      </c>
      <c r="E6">
        <v>48</v>
      </c>
    </row>
    <row r="7" spans="1:10" x14ac:dyDescent="0.25">
      <c r="A7" t="s">
        <v>1452</v>
      </c>
      <c r="B7" t="str">
        <f t="shared" si="1"/>
        <v>Conector de Compresión YPC 33R33R (266.8-266.8)</v>
      </c>
      <c r="C7" t="s">
        <v>3</v>
      </c>
      <c r="D7">
        <v>8</v>
      </c>
      <c r="E7">
        <v>8</v>
      </c>
    </row>
    <row r="8" spans="1:10" x14ac:dyDescent="0.25">
      <c r="A8" t="s">
        <v>401</v>
      </c>
      <c r="B8" t="str">
        <f t="shared" ref="B8" si="3">VLOOKUP(A8,tmat,2,FALSE)</f>
        <v>Crucete de Madera Curada de 4" x 5" x 96"</v>
      </c>
      <c r="C8" t="s">
        <v>3</v>
      </c>
      <c r="D8">
        <v>8</v>
      </c>
      <c r="E8">
        <v>8</v>
      </c>
    </row>
    <row r="9" spans="1:10" x14ac:dyDescent="0.25">
      <c r="A9" t="s">
        <v>337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10" x14ac:dyDescent="0.25">
      <c r="A10" t="s">
        <v>338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10" x14ac:dyDescent="0.25">
      <c r="A11" t="s">
        <v>1449</v>
      </c>
      <c r="B11" t="str">
        <f t="shared" ref="B11" si="4">VLOOKUP(A11,tmat,2,FALSE)</f>
        <v>Grapa Terminal tipo Escuadra para Conductor (3/0 - 556)</v>
      </c>
      <c r="C11" t="s">
        <v>3</v>
      </c>
      <c r="D11">
        <v>16</v>
      </c>
      <c r="E11">
        <v>16</v>
      </c>
    </row>
    <row r="12" spans="1:10" x14ac:dyDescent="0.25">
      <c r="A12" t="s">
        <v>346</v>
      </c>
      <c r="B12" t="str">
        <f t="shared" ref="B12:B19" si="5">VLOOKUP(A12,tmat,2,FALSE)</f>
        <v>Perno de Carroceria 3/8" x 5"</v>
      </c>
      <c r="C12" t="s">
        <v>3</v>
      </c>
      <c r="D12">
        <v>16</v>
      </c>
      <c r="E12">
        <v>16</v>
      </c>
      <c r="J12" t="s">
        <v>1450</v>
      </c>
    </row>
    <row r="13" spans="1:10" x14ac:dyDescent="0.25">
      <c r="A13" t="s">
        <v>1323</v>
      </c>
      <c r="B13" t="str">
        <f t="shared" si="5"/>
        <v>Placa de Refuerzo 3/16" x 4" x 5", Ø=13/16"</v>
      </c>
      <c r="C13" t="s">
        <v>3</v>
      </c>
      <c r="D13">
        <v>8</v>
      </c>
      <c r="E13">
        <v>8</v>
      </c>
    </row>
    <row r="14" spans="1:10" x14ac:dyDescent="0.25">
      <c r="A14" t="s">
        <v>419</v>
      </c>
      <c r="B14" t="str">
        <f t="shared" si="5"/>
        <v>Perno de Rosca Corrida 5/8" x 20"</v>
      </c>
      <c r="C14" t="s">
        <v>3</v>
      </c>
      <c r="D14">
        <v>4</v>
      </c>
      <c r="E14">
        <v>4</v>
      </c>
    </row>
    <row r="15" spans="1:10" x14ac:dyDescent="0.25">
      <c r="A15" t="s">
        <v>1325</v>
      </c>
      <c r="B15" t="str">
        <f t="shared" si="5"/>
        <v>Perno de Rosca Corrida 5/8" x 22"</v>
      </c>
      <c r="C15" t="s">
        <v>3</v>
      </c>
      <c r="D15">
        <v>4</v>
      </c>
      <c r="E15">
        <v>4</v>
      </c>
    </row>
    <row r="16" spans="1:10" x14ac:dyDescent="0.25">
      <c r="A16" t="s">
        <v>1453</v>
      </c>
      <c r="B16" t="str">
        <f t="shared" ref="B16" si="6">VLOOKUP(A16,tmat,2,FALSE)</f>
        <v>Perno de Rosca Corrida 5/8" x 24"</v>
      </c>
      <c r="C16" t="s">
        <v>3</v>
      </c>
      <c r="D16">
        <v>8</v>
      </c>
      <c r="E16">
        <v>8</v>
      </c>
    </row>
    <row r="17" spans="1:5" x14ac:dyDescent="0.25">
      <c r="A17" t="s">
        <v>347</v>
      </c>
      <c r="B17" t="str">
        <f t="shared" si="5"/>
        <v>Tirante de Pletina de 1/4" x 1-1/4" x 30"</v>
      </c>
      <c r="C17" t="s">
        <v>3</v>
      </c>
      <c r="D17">
        <v>16</v>
      </c>
      <c r="E17">
        <v>16</v>
      </c>
    </row>
    <row r="18" spans="1:5" x14ac:dyDescent="0.25">
      <c r="A18" t="s">
        <v>1174</v>
      </c>
      <c r="B18" t="str">
        <f t="shared" si="5"/>
        <v>Perno de Máquina de 1/2" x 10"</v>
      </c>
      <c r="C18" t="s">
        <v>3</v>
      </c>
      <c r="D18">
        <v>8</v>
      </c>
      <c r="E18">
        <v>8</v>
      </c>
    </row>
    <row r="19" spans="1:5" x14ac:dyDescent="0.25">
      <c r="A19" t="s">
        <v>333</v>
      </c>
      <c r="B19" t="str">
        <f t="shared" si="5"/>
        <v>Tuerca de Ojo de 5/8"</v>
      </c>
      <c r="C19" t="s">
        <v>3</v>
      </c>
      <c r="D19">
        <v>16</v>
      </c>
      <c r="E19">
        <v>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3A9021-2039-41AF-B36E-9A3CCFF5D561}">
          <x14:formula1>
            <xm:f>Materiales!$B$2:$B$259</xm:f>
          </x14:formula1>
          <xm:sqref>A2:A19</xm:sqref>
        </x14:dataValidation>
      </x14:dataValidation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5816-0C31-4410-B00C-F723B8AD94E7}">
  <sheetPr codeName="Hoja105"/>
  <dimension ref="A1:E6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1227</v>
      </c>
      <c r="D3">
        <v>3</v>
      </c>
      <c r="E3">
        <v>3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>VLOOKUP(A5,tmat,2,FALSE)</f>
        <v>Bastidor de una Línea</v>
      </c>
      <c r="C5" t="s">
        <v>3</v>
      </c>
      <c r="D5">
        <v>1</v>
      </c>
      <c r="E5">
        <v>1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D924DF-21BA-4EC4-8EB0-965605B1487B}">
          <x14:formula1>
            <xm:f>Materiales!$B$2:$B$259</xm:f>
          </x14:formula1>
          <xm:sqref>A2:A6</xm:sqref>
        </x14:dataValidation>
      </x14:dataValidation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4A73-854B-453D-A46C-A769BA6DB534}">
  <sheetPr codeName="Hoja106"/>
  <dimension ref="A1:E5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1227</v>
      </c>
      <c r="D3">
        <v>6</v>
      </c>
      <c r="E3">
        <v>6</v>
      </c>
    </row>
    <row r="4" spans="1:5" x14ac:dyDescent="0.25">
      <c r="A4" t="s">
        <v>349</v>
      </c>
      <c r="B4" t="str">
        <f>VLOOKUP(A4,tmat,2,FALSE)</f>
        <v>Bastidor de una Línea</v>
      </c>
      <c r="C4" t="s">
        <v>3</v>
      </c>
      <c r="D4">
        <v>2</v>
      </c>
      <c r="E4">
        <v>2</v>
      </c>
    </row>
    <row r="5" spans="1:5" x14ac:dyDescent="0.25">
      <c r="A5" t="s">
        <v>332</v>
      </c>
      <c r="B5" t="str">
        <f>VLOOKUP(A5,tmat,2,FALSE)</f>
        <v>Perno de Máquina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87878F-479A-47F7-AE08-0BEF4E1A2C3E}">
          <x14:formula1>
            <xm:f>Materiales!$B$2:$B$259</xm:f>
          </x14:formula1>
          <xm:sqref>A2:A5</xm:sqref>
        </x14:dataValidation>
      </x14:dataValidation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491F-E724-470B-9E8B-4EB7DC5161C1}">
  <sheetPr codeName="Hoja107"/>
  <dimension ref="A1:E6"/>
  <sheetViews>
    <sheetView zoomScale="90" zoomScaleNormal="90" workbookViewId="0">
      <selection activeCell="C3" sqref="C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6</v>
      </c>
      <c r="B3" t="str">
        <f>VLOOKUP(A3,tmat,2,FALSE)</f>
        <v>Arandela Cuadrada 3/16" x 2-1/4" x 2-1/4", Ø=11/16"</v>
      </c>
      <c r="C3" t="s">
        <v>3</v>
      </c>
      <c r="D3">
        <v>1</v>
      </c>
      <c r="E3">
        <v>1</v>
      </c>
    </row>
    <row r="4" spans="1:5" x14ac:dyDescent="0.25">
      <c r="A4" t="s">
        <v>349</v>
      </c>
      <c r="B4" t="str">
        <f>VLOOKUP(A4,tmat,2,FALSE)</f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>VLOOKUP(A5,tmat,2,FALSE)</f>
        <v>Conector de Compresión YC 2A2</v>
      </c>
      <c r="C5" t="s">
        <v>3</v>
      </c>
      <c r="D5">
        <v>1</v>
      </c>
      <c r="E5">
        <v>1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06F1F8-E92A-4FF1-A0B2-22E3D99F784B}">
          <x14:formula1>
            <xm:f>Materiales!$B$2:$B$259</xm:f>
          </x14:formula1>
          <xm:sqref>A2:A6</xm:sqref>
        </x14:dataValidation>
      </x14:dataValidation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CFB5-3EDB-4BCB-97EB-66A7DF61AB2B}">
  <sheetPr codeName="Hoja108"/>
  <dimension ref="A1:E4"/>
  <sheetViews>
    <sheetView zoomScale="90" zoomScaleNormal="90" workbookViewId="0">
      <selection activeCell="L23" sqref="L2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349</v>
      </c>
      <c r="B3" t="str">
        <f>VLOOKUP(A3,tmat,2,FALSE)</f>
        <v>Bastidor de una Línea</v>
      </c>
      <c r="C3" t="s">
        <v>3</v>
      </c>
      <c r="D3">
        <v>1</v>
      </c>
      <c r="E3">
        <v>1</v>
      </c>
    </row>
    <row r="4" spans="1:5" x14ac:dyDescent="0.25">
      <c r="A4" t="s">
        <v>350</v>
      </c>
      <c r="B4" t="str">
        <f>VLOOKUP(A4,tmat,2,FALSE)</f>
        <v>Conector de Compresión YC 2A2</v>
      </c>
      <c r="C4" t="s">
        <v>3</v>
      </c>
      <c r="D4">
        <v>2</v>
      </c>
      <c r="E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7BE0F8-ACA1-4FD0-A129-B0B8741B5C90}">
          <x14:formula1>
            <xm:f>Materiales!$B$2:$B$259</xm:f>
          </x14:formula1>
          <xm:sqref>A2:A4</xm:sqref>
        </x14:dataValidation>
      </x14:dataValidation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BA57-1DF2-4C04-9750-CD1FF8EF6E75}">
  <sheetPr codeName="Hoja109"/>
  <dimension ref="A1:E6"/>
  <sheetViews>
    <sheetView zoomScale="90" zoomScaleNormal="90"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6</v>
      </c>
      <c r="B3" t="str">
        <f>VLOOKUP(A3,tmat,2,FALSE)</f>
        <v>Arandela Cuadrada 3/16" x 2-1/4" x 2-1/4", Ø=11/16"</v>
      </c>
      <c r="C3" t="s">
        <v>3</v>
      </c>
      <c r="D3">
        <v>1</v>
      </c>
      <c r="E3">
        <v>1</v>
      </c>
    </row>
    <row r="4" spans="1:5" x14ac:dyDescent="0.25">
      <c r="A4" t="s">
        <v>349</v>
      </c>
      <c r="B4" t="str">
        <f>VLOOKUP(A4,tmat,2,FALSE)</f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>VLOOKUP(A5,tmat,2,FALSE)</f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35C357-339B-418B-B792-C27C3171AAF8}">
          <x14:formula1>
            <xm:f>Materiales!$B$2:$B$259</xm:f>
          </x14:formula1>
          <xm:sqref>A2:A6</xm:sqref>
        </x14:dataValidation>
      </x14:dataValidation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9362-EFEC-4FE3-95FC-8711987E4B52}">
  <sheetPr codeName="Hoja110"/>
  <dimension ref="A1:E5"/>
  <sheetViews>
    <sheetView zoomScale="90" zoomScaleNormal="90" workbookViewId="0">
      <selection activeCell="A2" sqref="A2:E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349</v>
      </c>
      <c r="B3" t="str">
        <f>VLOOKUP(A3,tmat,2,FALSE)</f>
        <v>Bastidor de una Línea</v>
      </c>
      <c r="C3" t="s">
        <v>3</v>
      </c>
      <c r="D3">
        <v>2</v>
      </c>
      <c r="E3">
        <v>2</v>
      </c>
    </row>
    <row r="4" spans="1:5" x14ac:dyDescent="0.25">
      <c r="A4" t="s">
        <v>350</v>
      </c>
      <c r="B4" t="str">
        <f>VLOOKUP(A4,tmat,2,FALSE)</f>
        <v>Conector de Compresión YC 2A2</v>
      </c>
      <c r="C4" t="s">
        <v>3</v>
      </c>
      <c r="D4">
        <v>3</v>
      </c>
      <c r="E4">
        <v>3</v>
      </c>
    </row>
    <row r="5" spans="1:5" x14ac:dyDescent="0.25">
      <c r="A5" t="s">
        <v>332</v>
      </c>
      <c r="B5" t="str">
        <f>VLOOKUP(A5,tmat,2,FALSE)</f>
        <v>Perno de Máquina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719631-2185-4468-9434-417D76AFC26D}">
          <x14:formula1>
            <xm:f>Materiales!$B$2:$B$259</xm:f>
          </x14:formula1>
          <xm:sqref>A2:A5</xm:sqref>
        </x14:dataValidation>
      </x14:dataValidation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E4C2-2112-411F-9570-C4374BD21E36}">
  <sheetPr codeName="Hoja200"/>
  <dimension ref="A1:E6"/>
  <sheetViews>
    <sheetView zoomScale="90" zoomScaleNormal="90" workbookViewId="0">
      <selection activeCell="F6" sqref="F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6</v>
      </c>
      <c r="B3" t="str">
        <f>VLOOKUP(A3,tmat,2,FALSE)</f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349</v>
      </c>
      <c r="B4" t="str">
        <f>VLOOKUP(A4,tmat,2,FALSE)</f>
        <v>Bastidor de una Línea</v>
      </c>
      <c r="C4" t="s">
        <v>3</v>
      </c>
      <c r="D4">
        <v>2</v>
      </c>
      <c r="E4">
        <v>2</v>
      </c>
    </row>
    <row r="5" spans="1:5" x14ac:dyDescent="0.25">
      <c r="A5" t="s">
        <v>350</v>
      </c>
      <c r="B5" t="str">
        <f>VLOOKUP(A5,tmat,2,FALSE)</f>
        <v>Conector de Compresión YC 2A2</v>
      </c>
      <c r="C5" t="s">
        <v>3</v>
      </c>
      <c r="D5">
        <v>3</v>
      </c>
      <c r="E5">
        <v>3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2</v>
      </c>
      <c r="E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35D928-36BD-4438-ADD9-D45C4F8E44F1}">
          <x14:formula1>
            <xm:f>Materiales!$B$2:$B$259</xm:f>
          </x14:formula1>
          <xm:sqref>A2:A6</xm:sqref>
        </x14:dataValidation>
      </x14:dataValidation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5C4F-0EAD-4933-8E7B-7577C860C0B2}">
  <sheetPr codeName="Hoja111"/>
  <dimension ref="A1:E7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5</v>
      </c>
      <c r="B3" t="str">
        <f t="shared" si="0"/>
        <v>Alambre de Amarre N° 6</v>
      </c>
      <c r="C3" t="s">
        <v>1331</v>
      </c>
      <c r="D3">
        <v>3</v>
      </c>
      <c r="E3">
        <v>3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A40D3B-3614-4086-88E1-C201FD33B3E2}">
          <x14:formula1>
            <xm:f>Materiales!$B$2:$B$259</xm:f>
          </x14:formula1>
          <xm:sqref>A2:A7</xm:sqref>
        </x14:dataValidation>
      </x14:dataValidation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2C0A-ACC4-4699-A1B0-FB2EC539A1DA}">
  <sheetPr codeName="Hoja112"/>
  <dimension ref="A1:E6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5</v>
      </c>
      <c r="B3" t="str">
        <f>VLOOKUP(A3,tmat,2,FALSE)</f>
        <v>Alambre de Amarre N° 6</v>
      </c>
      <c r="C3" t="s">
        <v>1331</v>
      </c>
      <c r="D3">
        <v>3</v>
      </c>
      <c r="E3">
        <v>3</v>
      </c>
    </row>
    <row r="4" spans="1:5" x14ac:dyDescent="0.25">
      <c r="A4" t="s">
        <v>349</v>
      </c>
      <c r="B4" t="str">
        <f>VLOOKUP(A4,tmat,2,FALSE)</f>
        <v>Bastidor de una Línea</v>
      </c>
      <c r="C4" t="s">
        <v>3</v>
      </c>
      <c r="D4">
        <v>2</v>
      </c>
      <c r="E4">
        <v>2</v>
      </c>
    </row>
    <row r="5" spans="1:5" x14ac:dyDescent="0.25">
      <c r="A5" t="s">
        <v>350</v>
      </c>
      <c r="B5" t="str">
        <f>VLOOKUP(A5,tmat,2,FALSE)</f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AE3518-81A3-4476-9055-741EF30D5B80}">
          <x14:formula1>
            <xm:f>Materiales!$B$2:$B$259</xm:f>
          </x14:formula1>
          <xm:sqref>A2:A6</xm:sqref>
        </x14:dataValidation>
      </x14:dataValidation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8562-9C37-478F-834C-BE630F722249}">
  <sheetPr codeName="Hoja113"/>
  <dimension ref="A1:E9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9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5</v>
      </c>
      <c r="B3" t="str">
        <f t="shared" si="0"/>
        <v>Alambre de Amarre N° 6</v>
      </c>
      <c r="C3" t="s">
        <v>1331</v>
      </c>
      <c r="D3">
        <v>3</v>
      </c>
      <c r="E3">
        <v>3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349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25">
      <c r="A6" t="s">
        <v>1219</v>
      </c>
      <c r="B6" t="str">
        <f t="shared" si="0"/>
        <v>Conector para Cable Acerado</v>
      </c>
      <c r="C6" t="s">
        <v>3</v>
      </c>
      <c r="D6">
        <v>1</v>
      </c>
      <c r="E6">
        <v>1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  <row r="8" spans="1:5" x14ac:dyDescent="0.25">
      <c r="A8" t="s">
        <v>438</v>
      </c>
      <c r="B8" t="str">
        <f t="shared" si="0"/>
        <v>Tuerca de Ojo de 5/8" con Guardacabo</v>
      </c>
      <c r="C8" t="s">
        <v>3</v>
      </c>
      <c r="D8">
        <v>1</v>
      </c>
      <c r="E8">
        <v>1</v>
      </c>
    </row>
    <row r="9" spans="1:5" x14ac:dyDescent="0.25">
      <c r="A9" t="s">
        <v>442</v>
      </c>
      <c r="B9" t="str">
        <f t="shared" si="0"/>
        <v>Varilla de Armar Preformado para Cable Acerado 1/4"</v>
      </c>
      <c r="C9" t="s">
        <v>3</v>
      </c>
      <c r="D9">
        <v>1</v>
      </c>
      <c r="E9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DBDEE5-51D1-4904-AFCA-90677D5E5081}">
          <x14:formula1>
            <xm:f>Materiales!$B$2:$B$259</xm:f>
          </x14:formula1>
          <xm:sqref>A2:A9</xm:sqref>
        </x14:dataValidation>
      </x14:dataValidation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EF1B-EF82-4D63-A0A4-17D836DE4B77}">
  <sheetPr codeName="Hoja114"/>
  <dimension ref="A1:E9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9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5</v>
      </c>
      <c r="B3" t="str">
        <f t="shared" si="0"/>
        <v>Alambre de Amarre N° 6</v>
      </c>
      <c r="C3" t="s">
        <v>1331</v>
      </c>
      <c r="D3">
        <v>3</v>
      </c>
      <c r="E3">
        <v>3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349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25">
      <c r="A6" t="s">
        <v>1219</v>
      </c>
      <c r="B6" t="str">
        <f t="shared" si="0"/>
        <v>Conector para Cable Acerado</v>
      </c>
      <c r="C6" t="s">
        <v>3</v>
      </c>
      <c r="D6">
        <v>1</v>
      </c>
      <c r="E6">
        <v>1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  <row r="8" spans="1:5" x14ac:dyDescent="0.25">
      <c r="A8" t="s">
        <v>438</v>
      </c>
      <c r="B8" t="str">
        <f t="shared" si="0"/>
        <v>Tuerca de Ojo de 5/8" con Guardacabo</v>
      </c>
      <c r="C8" t="s">
        <v>3</v>
      </c>
      <c r="D8">
        <v>1</v>
      </c>
      <c r="E8">
        <v>1</v>
      </c>
    </row>
    <row r="9" spans="1:5" x14ac:dyDescent="0.25">
      <c r="A9" t="s">
        <v>442</v>
      </c>
      <c r="B9" t="str">
        <f t="shared" si="0"/>
        <v>Varilla de Armar Preformado para Cable Acerado 1/4"</v>
      </c>
      <c r="C9" t="s">
        <v>3</v>
      </c>
      <c r="D9">
        <v>1</v>
      </c>
      <c r="E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73AAEC-679A-400F-808A-3EE29B04716B}">
          <x14:formula1>
            <xm:f>Materiales!$B$2:$B$259</xm:f>
          </x14:formula1>
          <xm:sqref>A2:A9</xm:sqref>
        </x14:dataValidation>
      </x14:dataValidation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E27A-32FA-4FAA-91C6-F796D2E2D891}">
  <sheetPr codeName="Hoja115"/>
  <dimension ref="A1:E7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5</v>
      </c>
      <c r="B3" t="str">
        <f t="shared" si="0"/>
        <v>Alambre de Amarre N° 6</v>
      </c>
      <c r="C3" t="s">
        <v>1227</v>
      </c>
      <c r="D3">
        <v>6</v>
      </c>
      <c r="E3">
        <v>6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 t="shared" si="0"/>
        <v>Bastidor de una Línea</v>
      </c>
      <c r="C5" t="s">
        <v>3</v>
      </c>
      <c r="D5">
        <v>2</v>
      </c>
      <c r="E5">
        <v>2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2</v>
      </c>
      <c r="E7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036CBE-1E28-44DE-A19A-3C55E1E5BA64}">
          <x14:formula1>
            <xm:f>Materiales!$B$2:$B$259</xm:f>
          </x14:formula1>
          <xm:sqref>A2:A7</xm:sqref>
        </x14:dataValidation>
      </x14:dataValidation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FD92-F3BB-47B9-9C38-5276842AE83A}">
  <sheetPr codeName="Hoja116"/>
  <dimension ref="A1:E6"/>
  <sheetViews>
    <sheetView workbookViewId="0">
      <selection activeCell="B5" sqref="B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1227</v>
      </c>
      <c r="D3">
        <v>9</v>
      </c>
      <c r="E3">
        <v>9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2</v>
      </c>
      <c r="E4">
        <v>2</v>
      </c>
    </row>
    <row r="5" spans="1:5" x14ac:dyDescent="0.25">
      <c r="A5" t="s">
        <v>331</v>
      </c>
      <c r="B5" t="str">
        <f>VLOOKUP(A5,tmat,2,FALSE)</f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2</v>
      </c>
      <c r="E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E2009A-C44B-4238-8F05-4C3D8D31C622}">
          <x14:formula1>
            <xm:f>Materiales!$B$2:$B$259</xm:f>
          </x14:formula1>
          <xm:sqref>A2:A6</xm:sqref>
        </x14:dataValidation>
      </x14:dataValidation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CC4-526D-4571-A0EC-C527056FAACF}">
  <sheetPr codeName="Hoja117"/>
  <dimension ref="A1:E6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1227</v>
      </c>
      <c r="D3">
        <v>9</v>
      </c>
      <c r="E3">
        <v>9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331</v>
      </c>
      <c r="B5" t="str">
        <f>VLOOKUP(A5,tmat,2,FALSE)</f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A84C82-3DD7-4BE9-8FE1-E01DFF97988F}">
          <x14:formula1>
            <xm:f>Materiales!$B$2:$B$259</xm:f>
          </x14:formula1>
          <xm:sqref>A2:A6</xm:sqref>
        </x14:dataValidation>
      </x14:dataValidation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82EF-610A-40F0-81AA-295B82468754}">
  <sheetPr codeName="Hoja118"/>
  <dimension ref="A1:E7"/>
  <sheetViews>
    <sheetView workbookViewId="0">
      <selection activeCell="A6" sqref="A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331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335EB1-529B-47F9-A399-F75D6E0CC9E2}">
          <x14:formula1>
            <xm:f>Materiales!$B$2:$B$259</xm:f>
          </x14:formula1>
          <xm:sqref>A2:A7</xm:sqref>
        </x14:dataValidation>
      </x14:dataValidation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5BEB-7432-4FD6-9B9A-AA31220A7B7C}">
  <sheetPr codeName="Hoja119"/>
  <dimension ref="A1:E5"/>
  <sheetViews>
    <sheetView workbookViewId="0">
      <selection activeCell="C20" sqref="C2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331</v>
      </c>
      <c r="B3" t="str">
        <f>VLOOKUP(A3,tmat,2,FALSE)</f>
        <v>Bastidor de Tres Líneas</v>
      </c>
      <c r="C3" t="s">
        <v>3</v>
      </c>
      <c r="D3">
        <v>1</v>
      </c>
      <c r="E3">
        <v>1</v>
      </c>
    </row>
    <row r="4" spans="1:5" x14ac:dyDescent="0.25">
      <c r="A4" t="s">
        <v>350</v>
      </c>
      <c r="B4" t="str">
        <f>VLOOKUP(A4,tmat,2,FALSE)</f>
        <v>Conector de Compresión YC 2A2</v>
      </c>
      <c r="C4" t="s">
        <v>3</v>
      </c>
      <c r="D4">
        <v>2</v>
      </c>
      <c r="E4">
        <v>2</v>
      </c>
    </row>
    <row r="5" spans="1:5" x14ac:dyDescent="0.25">
      <c r="A5" t="s">
        <v>392</v>
      </c>
      <c r="B5" t="str">
        <f>VLOOKUP(A5,tmat,2,FALSE)</f>
        <v>Conector de Compresión YC 28A28 (3/0-3/0)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751A50-F82E-438B-82EA-EF4C2EEA8A5C}">
          <x14:formula1>
            <xm:f>Materiales!$B$2:$B$259</xm:f>
          </x14:formula1>
          <xm:sqref>A2:A5</xm:sqref>
        </x14:dataValidation>
      </x14:dataValidation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7FA1-C695-4573-B379-57D8312BD8B0}">
  <sheetPr codeName="Hoja120"/>
  <dimension ref="A1:E7"/>
  <sheetViews>
    <sheetView workbookViewId="0">
      <selection activeCell="E13" sqref="E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331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4FA0F0-790B-43BF-932C-84E797D48750}">
          <x14:formula1>
            <xm:f>Materiales!$B$2:$B$259</xm:f>
          </x14:formula1>
          <xm:sqref>A2:A6</xm:sqref>
        </x14:dataValidation>
      </x14:dataValidation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8E3A-D3FC-46EC-8031-61CF6E5EC8F9}">
  <sheetPr codeName="Hoja121"/>
  <dimension ref="A1:E8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349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331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A1FB0B-152C-4734-8B24-D35A153A0F43}">
          <x14:formula1>
            <xm:f>Materiales!$B$2:$B$259</xm:f>
          </x14:formula1>
          <xm:sqref>A2:A7</xm:sqref>
        </x14:dataValidation>
      </x14:dataValidation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D1D7-AC1A-4303-B5A9-AE5E8554FE63}">
  <sheetPr codeName="Hoja122"/>
  <dimension ref="A1:E8"/>
  <sheetViews>
    <sheetView workbookViewId="0">
      <selection activeCell="I28" sqref="I2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25">
      <c r="A4" t="s">
        <v>349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331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492437-45BE-435A-886E-4183450A2474}">
          <x14:formula1>
            <xm:f>Materiales!$B$2:$B$259</xm:f>
          </x14:formula1>
          <xm:sqref>A2:A7</xm:sqref>
        </x14:dataValidation>
      </x14:dataValidation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F53A-55C7-4EE1-8B80-1E537360E49C}">
  <sheetPr codeName="Hoja123"/>
  <dimension ref="A1:E10"/>
  <sheetViews>
    <sheetView workbookViewId="0">
      <selection activeCell="B7" sqref="A7:E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10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331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1226</v>
      </c>
      <c r="B7" t="str">
        <f t="shared" si="0"/>
        <v>Conector de Compresión Bimetálico 1/0 - 6</v>
      </c>
      <c r="C7" t="s">
        <v>3</v>
      </c>
      <c r="D7">
        <v>1</v>
      </c>
      <c r="E7">
        <v>1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  <row r="9" spans="1:5" x14ac:dyDescent="0.25">
      <c r="A9" t="s">
        <v>438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442</v>
      </c>
      <c r="B10" t="str">
        <f t="shared" si="0"/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D3C0D3-41CD-4F28-8567-C2B3FEF4674C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8012-16C6-463C-AB3B-81F9540105F7}">
  <sheetPr codeName="Hoja124"/>
  <dimension ref="A1:E11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11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25">
      <c r="A4" t="s">
        <v>331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25">
      <c r="A6" t="s">
        <v>1226</v>
      </c>
      <c r="B6" t="str">
        <f t="shared" si="0"/>
        <v>Conector de Compresión Bimetálico 1/0 - 6</v>
      </c>
      <c r="C6" t="s">
        <v>3</v>
      </c>
      <c r="D6">
        <v>1</v>
      </c>
      <c r="E6">
        <v>1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25">
      <c r="A9" t="s">
        <v>334</v>
      </c>
      <c r="B9" t="str">
        <f t="shared" si="0"/>
        <v>Perno de Rosca Corrida 5/8" x 12"</v>
      </c>
      <c r="C9" t="s">
        <v>3</v>
      </c>
      <c r="D9">
        <v>1</v>
      </c>
      <c r="E9">
        <v>1</v>
      </c>
    </row>
    <row r="10" spans="1:5" x14ac:dyDescent="0.25">
      <c r="A10" t="s">
        <v>438</v>
      </c>
      <c r="B10" t="str">
        <f t="shared" si="0"/>
        <v>Tuerca de Ojo de 5/8" con Guardacabo</v>
      </c>
      <c r="C10" t="s">
        <v>3</v>
      </c>
      <c r="D10">
        <v>1</v>
      </c>
      <c r="E10">
        <v>1</v>
      </c>
    </row>
    <row r="11" spans="1:5" x14ac:dyDescent="0.25">
      <c r="A11" t="s">
        <v>442</v>
      </c>
      <c r="B11" t="str">
        <f t="shared" si="0"/>
        <v>Varilla de Armar Preformado para Cable Acerado 1/4"</v>
      </c>
      <c r="C11" t="s">
        <v>3</v>
      </c>
      <c r="D11">
        <v>1</v>
      </c>
      <c r="E1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E5AE22-2FAC-45A5-AC57-07920BC48180}">
          <x14:formula1>
            <xm:f>Materiales!$B$2:$B$259</xm:f>
          </x14:formula1>
          <xm:sqref>A2:A7 A9:A11</xm:sqref>
        </x14:dataValidation>
      </x14:dataValidation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899A-87F2-4FAA-A2EA-2D18245E6DDE}">
  <sheetPr codeName="Hoja125"/>
  <dimension ref="A1:E6"/>
  <sheetViews>
    <sheetView workbookViewId="0">
      <selection activeCell="B5" sqref="B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331</v>
      </c>
      <c r="B3" t="str">
        <f>VLOOKUP(A3,tmat,2,FALSE)</f>
        <v>Bastidor de Tres Líneas</v>
      </c>
      <c r="C3" t="s">
        <v>3</v>
      </c>
      <c r="D3">
        <v>2</v>
      </c>
      <c r="E3">
        <v>2</v>
      </c>
    </row>
    <row r="4" spans="1:5" x14ac:dyDescent="0.25">
      <c r="A4" t="s">
        <v>350</v>
      </c>
      <c r="B4" t="str">
        <f>VLOOKUP(A4,tmat,2,FALSE)</f>
        <v>Conector de Compresión YC 2A2</v>
      </c>
      <c r="C4" t="s">
        <v>3</v>
      </c>
      <c r="D4">
        <v>3</v>
      </c>
      <c r="E4">
        <v>3</v>
      </c>
    </row>
    <row r="5" spans="1:5" x14ac:dyDescent="0.25">
      <c r="A5" t="s">
        <v>392</v>
      </c>
      <c r="B5" t="str">
        <f>VLOOKUP(A5,tmat,2,FALSE)</f>
        <v>Conector de Compresión YC 28A28 (3/0-3/0)</v>
      </c>
      <c r="C5" t="s">
        <v>3</v>
      </c>
      <c r="D5">
        <v>6</v>
      </c>
      <c r="E5">
        <v>6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D98E02-35C9-4DDA-BCC1-72D08F7EE9B0}">
          <x14:formula1>
            <xm:f>Materiales!$B$2:$B$259</xm:f>
          </x14:formula1>
          <xm:sqref>A2:A6</xm:sqref>
        </x14:dataValidation>
      </x14:dataValidation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9B70-3AE4-41EF-93DD-BF260A04647D}">
  <sheetPr codeName="Hoja126"/>
  <dimension ref="A1:E7"/>
  <sheetViews>
    <sheetView workbookViewId="0">
      <selection activeCell="B5" sqref="B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25">
      <c r="A4" t="s">
        <v>331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3</v>
      </c>
      <c r="E5">
        <v>3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F53FA8-4AFE-4C36-887A-4A0D0DE7E5DF}">
          <x14:formula1>
            <xm:f>Materiales!$B$2:$B$259</xm:f>
          </x14:formula1>
          <xm:sqref>A2:A7</xm:sqref>
        </x14:dataValidation>
      </x14:dataValidation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937-AD58-4D61-9F8B-BE605654686D}">
  <sheetPr codeName="Hoja127"/>
  <dimension ref="A1:E8"/>
  <sheetViews>
    <sheetView workbookViewId="0">
      <selection activeCell="E8" sqref="E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7</v>
      </c>
      <c r="E2">
        <v>7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25">
      <c r="A4" t="s">
        <v>349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331</v>
      </c>
      <c r="B5" t="str">
        <f t="shared" si="0"/>
        <v>Bastidor de Tres Líneas</v>
      </c>
      <c r="C5" t="s">
        <v>3</v>
      </c>
      <c r="D5">
        <v>2</v>
      </c>
      <c r="E5">
        <v>2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5</v>
      </c>
      <c r="E6">
        <v>5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F2A285-7F0A-4079-B6F3-08389394D36C}">
          <x14:formula1>
            <xm:f>Materiales!$B$2:$B$259</xm:f>
          </x14:formula1>
          <xm:sqref>A2:A7</xm:sqref>
        </x14:dataValidation>
      </x14:dataValidation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237D-5571-47D9-9AC0-0440179F86B5}">
  <sheetPr codeName="Hoja128"/>
  <dimension ref="A1:E10"/>
  <sheetViews>
    <sheetView workbookViewId="0">
      <selection activeCell="A11" sqref="A1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10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25">
      <c r="A4" t="s">
        <v>331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3</v>
      </c>
      <c r="E5">
        <v>3</v>
      </c>
    </row>
    <row r="6" spans="1:5" x14ac:dyDescent="0.25">
      <c r="A6" t="s">
        <v>1226</v>
      </c>
      <c r="B6" t="str">
        <f t="shared" si="0"/>
        <v>Conector de Compresión Bimetálico 1/0 - 6</v>
      </c>
      <c r="C6" t="s">
        <v>3</v>
      </c>
      <c r="D6">
        <v>1</v>
      </c>
      <c r="E6">
        <v>1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  <row r="9" spans="1:5" x14ac:dyDescent="0.25">
      <c r="A9" t="s">
        <v>438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442</v>
      </c>
      <c r="B10" t="str">
        <f t="shared" si="0"/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079C40-920B-4CB5-ABDA-00D9A6155B67}">
          <x14:formula1>
            <xm:f>Materiales!$B$2:$B$259</xm:f>
          </x14:formula1>
          <xm:sqref>A2:A7 A9:A10</xm:sqref>
        </x14:dataValidation>
      </x14:dataValidation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3CBE-DBE3-4223-92B9-B2DCE24CBDD9}">
  <sheetPr codeName="Hoja129"/>
  <dimension ref="A1:E8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5</v>
      </c>
      <c r="B3" t="str">
        <f t="shared" si="0"/>
        <v>Alambre de Amarre N° 6</v>
      </c>
      <c r="C3" t="s">
        <v>1227</v>
      </c>
      <c r="D3">
        <v>9</v>
      </c>
      <c r="E3">
        <v>9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331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43C088-406C-44F8-A74B-0B1001D128DF}">
          <x14:formula1>
            <xm:f>Materiales!$B$2:$B$259</xm:f>
          </x14:formula1>
          <xm:sqref>A2:A8</xm:sqref>
        </x14:dataValidation>
      </x14:dataValidation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64F1-7FA4-4770-BA11-9C0986CF7C88}">
  <sheetPr codeName="Hoja130"/>
  <dimension ref="A1:E7"/>
  <sheetViews>
    <sheetView workbookViewId="0">
      <selection activeCell="A6" sqref="A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5</v>
      </c>
      <c r="B3" t="str">
        <f t="shared" si="0"/>
        <v>Alambre de Amarre N° 6</v>
      </c>
      <c r="C3" t="s">
        <v>1227</v>
      </c>
      <c r="D3">
        <v>9</v>
      </c>
      <c r="E3">
        <v>9</v>
      </c>
    </row>
    <row r="4" spans="1:5" x14ac:dyDescent="0.25">
      <c r="A4" t="s">
        <v>331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DE8182-1F27-4FC6-A80D-F00264300818}">
          <x14:formula1>
            <xm:f>Materiales!$B$2:$B$259</xm:f>
          </x14:formula1>
          <xm:sqref>A2:A7</xm:sqref>
        </x14:dataValidation>
      </x14:dataValidation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8E59-811B-4FE6-B38B-00B4978CD74D}">
  <sheetPr codeName="Hoja131"/>
  <dimension ref="A1:E8"/>
  <sheetViews>
    <sheetView workbookViewId="0">
      <selection activeCell="B16" sqref="B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5</v>
      </c>
      <c r="B3" t="str">
        <f t="shared" si="0"/>
        <v>Alambre de Amarre N° 6</v>
      </c>
      <c r="C3" t="s">
        <v>1227</v>
      </c>
      <c r="D3">
        <v>18</v>
      </c>
      <c r="E3">
        <v>18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4</v>
      </c>
      <c r="E4">
        <v>4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331</v>
      </c>
      <c r="B7" t="str">
        <f t="shared" si="0"/>
        <v>Bastidor de Tres Líneas</v>
      </c>
      <c r="C7" t="s">
        <v>3</v>
      </c>
      <c r="D7">
        <v>2</v>
      </c>
      <c r="E7">
        <v>2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2</v>
      </c>
      <c r="E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F37D19-9535-4FB2-B4CB-306FFE519F17}">
          <x14:formula1>
            <xm:f>Materiales!$B$2:$B$259</xm:f>
          </x14:formula1>
          <xm:sqref>A2:A8</xm:sqref>
        </x14:dataValidation>
      </x14:dataValidation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1DAE-A3D8-4D92-9A4D-8A9C3BB9365F}">
  <sheetPr codeName="Hoja132"/>
  <dimension ref="A1:E7"/>
  <sheetViews>
    <sheetView workbookViewId="0">
      <selection activeCell="F7" sqref="F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9</v>
      </c>
      <c r="E2">
        <v>9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350</v>
      </c>
      <c r="B4" t="str">
        <f t="shared" si="0"/>
        <v>Conector de Compresión YC 2A2</v>
      </c>
      <c r="C4" t="s">
        <v>3</v>
      </c>
      <c r="D4">
        <v>5</v>
      </c>
      <c r="E4">
        <v>5</v>
      </c>
    </row>
    <row r="5" spans="1:5" x14ac:dyDescent="0.25">
      <c r="A5" t="s">
        <v>392</v>
      </c>
      <c r="B5" t="str">
        <f t="shared" si="0"/>
        <v>Conector de Compresión YC 28A28 (3/0-3/0)</v>
      </c>
      <c r="C5" t="s">
        <v>3</v>
      </c>
      <c r="D5">
        <v>10</v>
      </c>
      <c r="E5">
        <v>10</v>
      </c>
    </row>
    <row r="6" spans="1:5" x14ac:dyDescent="0.25">
      <c r="A6" t="s">
        <v>331</v>
      </c>
      <c r="B6" t="str">
        <f t="shared" si="0"/>
        <v>Bastidor de Tres Líneas</v>
      </c>
      <c r="C6" t="s">
        <v>3</v>
      </c>
      <c r="D6">
        <v>3</v>
      </c>
      <c r="E6">
        <v>3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BCC97C-C367-4498-AB23-9C01D98D3565}">
          <x14:formula1>
            <xm:f>Materiales!$B$2:$B$259</xm:f>
          </x14:formula1>
          <xm:sqref>A2:A7</xm:sqref>
        </x14:dataValidation>
      </x14:dataValidations>
    </ext>
  </extLst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E95C-C232-437E-AA9A-7DD62A1FE30C}">
  <sheetPr codeName="Hoja133"/>
  <dimension ref="A1:E6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1227</v>
      </c>
      <c r="D3">
        <v>12</v>
      </c>
      <c r="E3">
        <v>12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2</v>
      </c>
      <c r="E4">
        <v>2</v>
      </c>
    </row>
    <row r="5" spans="1:5" x14ac:dyDescent="0.25">
      <c r="A5" t="s">
        <v>378</v>
      </c>
      <c r="B5" t="str">
        <f>VLOOKUP(A5,tmat,2,FALSE)</f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2</v>
      </c>
      <c r="E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FA22C4-688C-410A-A428-61FB0C435152}">
          <x14:formula1>
            <xm:f>Materiales!$B$2:$B$259</xm:f>
          </x14:formula1>
          <xm:sqref>A2:A6</xm:sqref>
        </x14:dataValidation>
      </x14:dataValidations>
    </ext>
  </extLst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68C3-7202-4F38-A55A-019728F4AF43}">
  <sheetPr codeName="Hoja134"/>
  <dimension ref="A1:E6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1227</v>
      </c>
      <c r="D3">
        <v>12</v>
      </c>
      <c r="E3">
        <v>12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378</v>
      </c>
      <c r="B5" t="str">
        <f>VLOOKUP(A5,tmat,2,FALSE)</f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A3811E-0222-4D11-90FD-99C3A527068B}">
          <x14:formula1>
            <xm:f>Materiales!$B$2:$B$259</xm:f>
          </x14:formula1>
          <xm:sqref>A2:A6</xm:sqref>
        </x14:dataValidation>
      </x14:dataValidations>
    </ext>
  </extLst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A566-33B2-406D-B44A-B4B0B0D1F0BF}">
  <sheetPr codeName="Hoja135"/>
  <dimension ref="A1:E7"/>
  <sheetViews>
    <sheetView zoomScale="90" zoomScaleNormal="90" workbookViewId="0">
      <selection activeCell="C3" sqref="C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378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A46CAA-358B-49B5-AEB4-BE85AAB7BF05}">
          <x14:formula1>
            <xm:f>Materiales!$B$2:$B$259</xm:f>
          </x14:formula1>
          <xm:sqref>A2:A7</xm:sqref>
        </x14:dataValidation>
      </x14:dataValidations>
    </ext>
  </extLst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4AD4-6654-4C68-B788-885895657CFF}">
  <sheetPr codeName="Hoja136"/>
  <dimension ref="A1:E5"/>
  <sheetViews>
    <sheetView zoomScale="90" zoomScaleNormal="90" workbookViewId="0">
      <selection activeCell="C18" sqref="C1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5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378</v>
      </c>
      <c r="B3" t="str">
        <f t="shared" si="0"/>
        <v>Bastidor de Cuatro Líneas</v>
      </c>
      <c r="C3" t="s">
        <v>3</v>
      </c>
      <c r="D3">
        <v>1</v>
      </c>
      <c r="E3">
        <v>1</v>
      </c>
    </row>
    <row r="4" spans="1:5" x14ac:dyDescent="0.25">
      <c r="A4" t="s">
        <v>350</v>
      </c>
      <c r="B4" t="str">
        <f t="shared" si="0"/>
        <v>Conector de Compresión YC 2A2</v>
      </c>
      <c r="C4" t="s">
        <v>3</v>
      </c>
      <c r="D4">
        <v>4</v>
      </c>
      <c r="E4">
        <v>4</v>
      </c>
    </row>
    <row r="5" spans="1:5" x14ac:dyDescent="0.25">
      <c r="A5" t="s">
        <v>392</v>
      </c>
      <c r="B5" t="str">
        <f t="shared" si="0"/>
        <v>Conector de Compresión YC 28A28 (3/0-3/0)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258A0B-3233-4DBD-A8AD-3493ADF612B0}">
          <x14:formula1>
            <xm:f>Materiales!$B$2:$B$259</xm:f>
          </x14:formula1>
          <xm:sqref>A2:A5</xm:sqref>
        </x14:dataValidation>
      </x14:dataValidations>
    </ext>
  </extLst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A3A2-6236-43FA-A974-FEA08A88CCCA}">
  <sheetPr codeName="Hoja137"/>
  <dimension ref="A1:E7"/>
  <sheetViews>
    <sheetView zoomScale="90" zoomScaleNormal="90" workbookViewId="0">
      <selection activeCell="E14" sqref="E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378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4</v>
      </c>
      <c r="E5">
        <v>4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3BCB62-89F2-4666-A284-4FC9B48559F8}">
          <x14:formula1>
            <xm:f>Materiales!$B$2:$B$259</xm:f>
          </x14:formula1>
          <xm:sqref>A2:A7</xm:sqref>
        </x14:dataValidation>
      </x14:dataValidations>
    </ext>
  </extLst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11A-FC29-49B2-881E-058C93933C8B}">
  <sheetPr codeName="Hoja138"/>
  <dimension ref="A1:E8"/>
  <sheetViews>
    <sheetView zoomScale="90" zoomScaleNormal="90"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5</v>
      </c>
      <c r="E2">
        <v>5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349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378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8EE2E1-B56C-4406-A743-EE5A9C8F5CAE}">
          <x14:formula1>
            <xm:f>Materiales!$B$2:$B$259</xm:f>
          </x14:formula1>
          <xm:sqref>A2:A8</xm:sqref>
        </x14:dataValidation>
      </x14:dataValidations>
    </ext>
  </extLst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DE14-3416-4840-8560-E7AC0FEE6748}">
  <sheetPr codeName="Hoja139"/>
  <dimension ref="A1:E8"/>
  <sheetViews>
    <sheetView zoomScale="90" zoomScaleNormal="90" workbookViewId="0">
      <selection activeCell="D13" sqref="D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5</v>
      </c>
      <c r="E2">
        <v>5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25">
      <c r="A4" t="s">
        <v>349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378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D325D7-9FFE-4907-AF45-AB3F774E8985}">
          <x14:formula1>
            <xm:f>Materiales!$B$2:$B$259</xm:f>
          </x14:formula1>
          <xm:sqref>A2:A8</xm:sqref>
        </x14:dataValidation>
      </x14:dataValidations>
    </ext>
  </extLst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AB82-F212-440F-98FC-263924A3F310}">
  <sheetPr codeName="Hoja140"/>
  <dimension ref="A1:E10"/>
  <sheetViews>
    <sheetView zoomScale="90" zoomScaleNormal="90" workbookViewId="0">
      <selection activeCell="D17" sqref="D1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9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378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1226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25">
      <c r="A9" t="s">
        <v>438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442</v>
      </c>
      <c r="B10" t="str">
        <f t="shared" ref="B10" si="2">VLOOKUP(A10,tmat,2,FALSE)</f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DCB05F6-E55C-4C54-B8C8-7CC73D77056B}">
          <x14:formula1>
            <xm:f>Materiales!$B$2:$B$259</xm:f>
          </x14:formula1>
          <xm:sqref>A2:A10</xm:sqref>
        </x14:dataValidation>
      </x14:dataValidations>
    </ext>
  </extLst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B934-B4F4-4FA1-98FB-9D5FDFF9DDD1}">
  <sheetPr codeName="Hoja141"/>
  <dimension ref="A1:E11"/>
  <sheetViews>
    <sheetView zoomScale="90" zoomScaleNormal="90" workbookViewId="0">
      <selection activeCell="F23" sqref="F2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10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25">
      <c r="A4" t="s">
        <v>378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1226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25">
      <c r="A9" t="s">
        <v>334</v>
      </c>
      <c r="B9" t="str">
        <f t="shared" ref="B9" si="2">VLOOKUP(A9,tmat,2,FALSE)</f>
        <v>Perno de Rosca Corrida 5/8" x 12"</v>
      </c>
      <c r="C9" t="s">
        <v>3</v>
      </c>
      <c r="D9">
        <v>1</v>
      </c>
      <c r="E9">
        <v>1</v>
      </c>
    </row>
    <row r="10" spans="1:5" x14ac:dyDescent="0.25">
      <c r="A10" t="s">
        <v>438</v>
      </c>
      <c r="B10" t="str">
        <f t="shared" si="0"/>
        <v>Tuerca de Ojo de 5/8" con Guardacabo</v>
      </c>
      <c r="C10" t="s">
        <v>3</v>
      </c>
      <c r="D10">
        <v>1</v>
      </c>
      <c r="E10">
        <v>1</v>
      </c>
    </row>
    <row r="11" spans="1:5" x14ac:dyDescent="0.25">
      <c r="A11" t="s">
        <v>442</v>
      </c>
      <c r="B11" t="str">
        <f t="shared" ref="B11" si="3">VLOOKUP(A11,tmat,2,FALSE)</f>
        <v>Varilla de Armar Preformado para Cable Acerado 1/4"</v>
      </c>
      <c r="C11" t="s">
        <v>3</v>
      </c>
      <c r="D11">
        <v>1</v>
      </c>
      <c r="E1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EC64AB-B6CD-4DEE-BADE-63B4E33A5E70}">
          <x14:formula1>
            <xm:f>Materiales!$B$2:$B$259</xm:f>
          </x14:formula1>
          <xm:sqref>A2:A11</xm:sqref>
        </x14:dataValidation>
      </x14:dataValidations>
    </ext>
  </extLst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4AAD-01B9-4CAB-BD86-BE01BA075477}">
  <sheetPr codeName="Hoja142"/>
  <dimension ref="A1:E6"/>
  <sheetViews>
    <sheetView zoomScale="90" zoomScaleNormal="90"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378</v>
      </c>
      <c r="B3" t="str">
        <f>VLOOKUP(A3,tmat,2,FALSE)</f>
        <v>Bastidor de Cuatro Líneas</v>
      </c>
      <c r="C3" t="s">
        <v>3</v>
      </c>
      <c r="D3">
        <v>2</v>
      </c>
      <c r="E3">
        <v>2</v>
      </c>
    </row>
    <row r="4" spans="1:5" x14ac:dyDescent="0.25">
      <c r="A4" t="s">
        <v>350</v>
      </c>
      <c r="B4" t="str">
        <f>VLOOKUP(A4,tmat,2,FALSE)</f>
        <v>Conector de Compresión YC 2A2</v>
      </c>
      <c r="C4" t="s">
        <v>3</v>
      </c>
      <c r="D4">
        <v>6</v>
      </c>
      <c r="E4">
        <v>6</v>
      </c>
    </row>
    <row r="5" spans="1:5" x14ac:dyDescent="0.25">
      <c r="A5" t="s">
        <v>392</v>
      </c>
      <c r="B5" t="str">
        <f>VLOOKUP(A5,tmat,2,FALSE)</f>
        <v>Conector de Compresión YC 28A28 (3/0-3/0)</v>
      </c>
      <c r="C5" t="s">
        <v>3</v>
      </c>
      <c r="D5">
        <v>6</v>
      </c>
      <c r="E5">
        <v>6</v>
      </c>
    </row>
    <row r="6" spans="1:5" x14ac:dyDescent="0.25">
      <c r="A6" t="s">
        <v>332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63D26-CB0B-4B6E-BF03-8AA8F878A53A}">
          <x14:formula1>
            <xm:f>Materiales!$B$2:$B$259</xm:f>
          </x14:formula1>
          <xm:sqref>A2:A6</xm:sqref>
        </x14:dataValidation>
      </x14:dataValidations>
    </ext>
  </extLst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A9C6-83C9-40BD-844E-402F838B363D}">
  <sheetPr codeName="Hoja143"/>
  <dimension ref="A1:E7"/>
  <sheetViews>
    <sheetView zoomScale="90" zoomScaleNormal="90"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25">
      <c r="A4" t="s">
        <v>378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6</v>
      </c>
      <c r="E5">
        <v>6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3CF198-C260-4E63-917C-F2FD3F2B3034}">
          <x14:formula1>
            <xm:f>Materiales!$B$2:$B$259</xm:f>
          </x14:formula1>
          <xm:sqref>A2:A7</xm:sqref>
        </x14:dataValidation>
      </x14:dataValidations>
    </ext>
  </extLst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E852-73E1-41C7-A9E6-51BB6A02FCE4}">
  <sheetPr codeName="Hoja144"/>
  <dimension ref="A1:E8"/>
  <sheetViews>
    <sheetView zoomScale="90" zoomScaleNormal="90" workbookViewId="0">
      <selection activeCell="H25" sqref="H2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9</v>
      </c>
      <c r="E2">
        <v>9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25">
      <c r="A4" t="s">
        <v>349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378</v>
      </c>
      <c r="B5" t="str">
        <f t="shared" si="0"/>
        <v>Bastidor de Cuatro Líneas</v>
      </c>
      <c r="C5" t="s">
        <v>3</v>
      </c>
      <c r="D5">
        <v>2</v>
      </c>
      <c r="E5">
        <v>2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8</v>
      </c>
      <c r="E6">
        <v>8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EE94F2-EC02-4B1D-8AA7-E77530931357}">
          <x14:formula1>
            <xm:f>Materiales!$B$2:$B$259</xm:f>
          </x14:formula1>
          <xm:sqref>A2:A8</xm:sqref>
        </x14:dataValidation>
      </x14:dataValidations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DC9E-1B49-4D48-887A-474480849470}">
  <sheetPr codeName="Hoja145"/>
  <dimension ref="A1:E10"/>
  <sheetViews>
    <sheetView zoomScale="90" zoomScaleNormal="90" workbookViewId="0">
      <selection activeCell="E8" sqref="E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9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25">
      <c r="A4" t="s">
        <v>378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6</v>
      </c>
      <c r="E5">
        <v>6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25">
      <c r="A7" t="s">
        <v>1226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  <row r="9" spans="1:5" x14ac:dyDescent="0.25">
      <c r="A9" t="s">
        <v>438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442</v>
      </c>
      <c r="B10" t="str">
        <f t="shared" ref="B10" si="2">VLOOKUP(A10,tmat,2,FALSE)</f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3C263-72FA-4C82-8A6A-D3336658CEC8}">
          <x14:formula1>
            <xm:f>Materiales!$B$2:$B$259</xm:f>
          </x14:formula1>
          <xm:sqref>A2:A10</xm:sqref>
        </x14:dataValidation>
      </x14:dataValidations>
    </ext>
  </extLst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AF85-9B99-41E9-962D-317EED45D682}">
  <sheetPr codeName="Hoja146"/>
  <dimension ref="A1:E8"/>
  <sheetViews>
    <sheetView zoomScale="90" zoomScaleNormal="90" workbookViewId="0">
      <selection activeCell="A8" sqref="A8:XFD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5</v>
      </c>
      <c r="B3" t="str">
        <f t="shared" ref="B3" si="1">VLOOKUP(A3,tmat,2,FALSE)</f>
        <v>Alambre de Amarre N° 6</v>
      </c>
      <c r="C3" t="s">
        <v>1227</v>
      </c>
      <c r="D3">
        <v>12</v>
      </c>
      <c r="E3">
        <v>12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378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D0DE50-BFF0-4A55-B82B-28ABBB7D9566}">
          <x14:formula1>
            <xm:f>Materiales!$B$2:$B$259</xm:f>
          </x14:formula1>
          <xm:sqref>A2:A8</xm:sqref>
        </x14:dataValidation>
      </x14:dataValidations>
    </ext>
  </extLst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B64E-6B8D-4C4A-A384-06433F5AD078}">
  <sheetPr codeName="Hoja147"/>
  <dimension ref="A1:E7"/>
  <sheetViews>
    <sheetView zoomScale="90" zoomScaleNormal="90" workbookViewId="0">
      <selection activeCell="H22" sqref="H2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5</v>
      </c>
      <c r="B3" t="str">
        <f t="shared" ref="B3" si="1">VLOOKUP(A3,tmat,2,FALSE)</f>
        <v>Alambre de Amarre N° 6</v>
      </c>
      <c r="C3" t="s">
        <v>1227</v>
      </c>
      <c r="D3">
        <v>12</v>
      </c>
      <c r="E3">
        <v>12</v>
      </c>
    </row>
    <row r="4" spans="1:5" x14ac:dyDescent="0.25">
      <c r="A4" t="s">
        <v>378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4</v>
      </c>
      <c r="E5">
        <v>4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B6277B-6255-4381-8A44-D77C00BD513D}">
          <x14:formula1>
            <xm:f>Materiales!$B$2:$B$259</xm:f>
          </x14:formula1>
          <xm:sqref>A2:A7</xm:sqref>
        </x14:dataValidation>
      </x14:dataValidations>
    </ext>
  </extLst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48BE-1145-4502-87FA-578C54E5D6ED}">
  <sheetPr codeName="Hoja148"/>
  <dimension ref="A1:E8"/>
  <sheetViews>
    <sheetView zoomScale="90" zoomScaleNormal="90" workbookViewId="0">
      <selection activeCell="F8" sqref="F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8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5</v>
      </c>
      <c r="B3" t="str">
        <f t="shared" ref="B3" si="1">VLOOKUP(A3,tmat,2,FALSE)</f>
        <v>Alambre de Amarre N° 6</v>
      </c>
      <c r="C3" t="s">
        <v>1227</v>
      </c>
      <c r="D3">
        <v>24</v>
      </c>
      <c r="E3">
        <v>24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4</v>
      </c>
      <c r="E4">
        <v>4</v>
      </c>
    </row>
    <row r="5" spans="1:5" x14ac:dyDescent="0.25">
      <c r="A5" t="s">
        <v>378</v>
      </c>
      <c r="B5" t="str">
        <f t="shared" si="0"/>
        <v>Bastidor de Cuatro Líneas</v>
      </c>
      <c r="C5" t="s">
        <v>3</v>
      </c>
      <c r="D5">
        <v>2</v>
      </c>
      <c r="E5">
        <v>2</v>
      </c>
    </row>
    <row r="6" spans="1:5" x14ac:dyDescent="0.25">
      <c r="A6" t="s">
        <v>350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25">
      <c r="A8" t="s">
        <v>332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1DA5D1-EB5C-43BF-81DA-CD896369BE81}">
          <x14:formula1>
            <xm:f>Materiales!$B$2:$B$259</xm:f>
          </x14:formula1>
          <xm:sqref>A2:A8</xm:sqref>
        </x14:dataValidation>
      </x14:dataValidations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CF24-17DB-4284-B963-D9A1D5958D74}">
  <sheetPr codeName="Hoja149"/>
  <dimension ref="A1:E7"/>
  <sheetViews>
    <sheetView zoomScale="90" zoomScaleNormal="90" workbookViewId="0">
      <selection activeCell="D10" sqref="D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330</v>
      </c>
      <c r="B2" t="str">
        <f t="shared" ref="B2:B7" si="0">VLOOKUP(A2,tmat,2,FALSE)</f>
        <v>Aislador de Carrete ANSI C 53-2</v>
      </c>
      <c r="C2" t="s">
        <v>3</v>
      </c>
      <c r="D2">
        <v>12</v>
      </c>
      <c r="E2">
        <v>12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378</v>
      </c>
      <c r="B4" t="str">
        <f t="shared" si="0"/>
        <v>Bastidor de Cuatro Líneas</v>
      </c>
      <c r="C4" t="s">
        <v>3</v>
      </c>
      <c r="D4">
        <v>3</v>
      </c>
      <c r="E4">
        <v>3</v>
      </c>
    </row>
    <row r="5" spans="1:5" x14ac:dyDescent="0.25">
      <c r="A5" t="s">
        <v>350</v>
      </c>
      <c r="B5" t="str">
        <f t="shared" si="0"/>
        <v>Conector de Compresión YC 2A2</v>
      </c>
      <c r="C5" t="s">
        <v>3</v>
      </c>
      <c r="D5">
        <v>10</v>
      </c>
      <c r="E5">
        <v>10</v>
      </c>
    </row>
    <row r="6" spans="1:5" x14ac:dyDescent="0.25">
      <c r="A6" t="s">
        <v>392</v>
      </c>
      <c r="B6" t="str">
        <f t="shared" si="0"/>
        <v>Conector de Compresión YC 28A28 (3/0-3/0)</v>
      </c>
      <c r="C6" t="s">
        <v>3</v>
      </c>
      <c r="D6">
        <v>10</v>
      </c>
      <c r="E6">
        <v>10</v>
      </c>
    </row>
    <row r="7" spans="1:5" x14ac:dyDescent="0.25">
      <c r="A7" t="s">
        <v>332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7B509A-4016-4A57-B609-0495D7620E5C}">
          <x14:formula1>
            <xm:f>Materiales!$B$2:$B$259</xm:f>
          </x14:formula1>
          <xm:sqref>A2:A7</xm:sqref>
        </x14:dataValidation>
      </x14:dataValidations>
    </ext>
  </extLst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8D2A-1C60-44AB-9E69-AACE5EA3699D}">
  <sheetPr codeName="Hoja150"/>
  <dimension ref="A1:E4"/>
  <sheetViews>
    <sheetView zoomScale="90" zoomScaleNormal="90" workbookViewId="0">
      <selection activeCell="B15" sqref="B1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4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25">
      <c r="A3" t="s">
        <v>1220</v>
      </c>
      <c r="B3" t="str">
        <f t="shared" si="0"/>
        <v>Grapa de Suspensión para Guarda, Ø=1/4"</v>
      </c>
      <c r="C3" t="s">
        <v>3</v>
      </c>
      <c r="D3">
        <v>1</v>
      </c>
      <c r="E3">
        <v>1</v>
      </c>
    </row>
    <row r="4" spans="1:5" x14ac:dyDescent="0.25">
      <c r="A4" t="s">
        <v>1221</v>
      </c>
      <c r="B4" t="str">
        <f t="shared" si="0"/>
        <v>Perno Recto de Ojo con Eslabón de 5/8" x 12"</v>
      </c>
      <c r="C4" t="s">
        <v>3</v>
      </c>
      <c r="D4">
        <v>1</v>
      </c>
      <c r="E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58B34F-EC59-4C62-AEFA-B02EAAAE8ECD}">
          <x14:formula1>
            <xm:f>Materiales!$B$2:$B$259</xm:f>
          </x14:formula1>
          <xm:sqref>A2:A4</xm:sqref>
        </x14:dataValidation>
      </x14:dataValidations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07AC-CD45-4627-8165-4A0D807158C5}">
  <sheetPr codeName="Hoja151"/>
  <dimension ref="A1:E4"/>
  <sheetViews>
    <sheetView zoomScale="90" zoomScaleNormal="90"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4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1222</v>
      </c>
      <c r="B3" t="str">
        <f t="shared" si="0"/>
        <v>Grapa Terminal tipo Recto Cable de Guarda, Ø=1/4"</v>
      </c>
      <c r="C3" t="s">
        <v>3</v>
      </c>
      <c r="D3">
        <v>1</v>
      </c>
      <c r="E3">
        <v>1</v>
      </c>
    </row>
    <row r="4" spans="1:5" x14ac:dyDescent="0.25">
      <c r="A4" t="s">
        <v>1223</v>
      </c>
      <c r="B4" t="str">
        <f t="shared" si="0"/>
        <v>Perno Recto de Ojo de 5/8" x 12"</v>
      </c>
      <c r="C4" t="s">
        <v>3</v>
      </c>
      <c r="D4">
        <v>1</v>
      </c>
      <c r="E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0B4923-1468-47D4-B8B0-A46AC6983FF3}">
          <x14:formula1>
            <xm:f>Materiales!$B$2:$B$259</xm:f>
          </x14:formula1>
          <xm:sqref>A2:A4</xm:sqref>
        </x14:dataValidation>
      </x14:dataValidation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B73B-53EF-4860-AECB-D03ABD760406}">
  <sheetPr codeName="Hoja152"/>
  <dimension ref="A1:E6"/>
  <sheetViews>
    <sheetView zoomScale="90" zoomScaleNormal="90" workbookViewId="0">
      <selection activeCell="H28" sqref="H2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1219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25">
      <c r="A4" t="s">
        <v>1222</v>
      </c>
      <c r="B4" t="str">
        <f t="shared" si="0"/>
        <v>Grapa Terminal tipo Recto Cable de Guarda, Ø=1/4"</v>
      </c>
      <c r="C4" t="s">
        <v>3</v>
      </c>
      <c r="D4">
        <v>2</v>
      </c>
      <c r="E4">
        <v>2</v>
      </c>
    </row>
    <row r="5" spans="1:5" x14ac:dyDescent="0.25">
      <c r="A5" t="s">
        <v>1223</v>
      </c>
      <c r="B5" t="str">
        <f t="shared" si="0"/>
        <v>Perno Recto de Ojo de 5/8" x 12"</v>
      </c>
      <c r="C5" t="s">
        <v>3</v>
      </c>
      <c r="D5">
        <v>1</v>
      </c>
      <c r="E5">
        <v>1</v>
      </c>
    </row>
    <row r="6" spans="1:5" x14ac:dyDescent="0.25">
      <c r="A6" t="s">
        <v>333</v>
      </c>
      <c r="B6" t="str">
        <f t="shared" ref="B6" si="1">VLOOKUP(A6,tmat,2,FALSE)</f>
        <v>Tuerca de Ojo de 5/8"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9466E6-C252-41F4-A1D0-C722D0EAAE4E}">
          <x14:formula1>
            <xm:f>Materiales!$B$2:$B$259</xm:f>
          </x14:formula1>
          <xm:sqref>A2:A6</xm:sqref>
        </x14:dataValidation>
      </x14:dataValidation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ED13-9D7C-47FC-9085-50C1AF12A279}">
  <sheetPr codeName="Hoja153"/>
  <dimension ref="A1:E5"/>
  <sheetViews>
    <sheetView zoomScale="90" zoomScaleNormal="90" workbookViewId="0">
      <selection activeCell="B16" sqref="B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4</v>
      </c>
      <c r="E2">
        <v>4</v>
      </c>
    </row>
    <row r="3" spans="1:5" x14ac:dyDescent="0.25">
      <c r="A3" t="s">
        <v>1219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25">
      <c r="A4" t="s">
        <v>1222</v>
      </c>
      <c r="B4" t="str">
        <f t="shared" si="0"/>
        <v>Grapa Terminal tipo Recto Cable de Guarda, Ø=1/4"</v>
      </c>
      <c r="C4" t="s">
        <v>3</v>
      </c>
      <c r="D4">
        <v>2</v>
      </c>
      <c r="E4">
        <v>2</v>
      </c>
    </row>
    <row r="5" spans="1:5" x14ac:dyDescent="0.25">
      <c r="A5" t="s">
        <v>1223</v>
      </c>
      <c r="B5" t="str">
        <f t="shared" si="0"/>
        <v>Perno Recto de Ojo de 5/8" x 12"</v>
      </c>
      <c r="C5" t="s">
        <v>3</v>
      </c>
      <c r="D5">
        <v>2</v>
      </c>
      <c r="E5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BDBCDA-A58C-4C69-BEEE-C43815024C55}">
          <x14:formula1>
            <xm:f>Materiales!$B$2:$B$259</xm:f>
          </x14:formula1>
          <xm:sqref>A2:A5</xm:sqref>
        </x14:dataValidation>
      </x14:dataValidations>
    </ext>
  </extLst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A186-AF4E-4FCB-9350-0440F00F2DEF}">
  <sheetPr codeName="Hoja154"/>
  <dimension ref="A1:E7"/>
  <sheetViews>
    <sheetView zoomScale="90" zoomScaleNormal="90" workbookViewId="0">
      <selection activeCell="D10" sqref="D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3</v>
      </c>
      <c r="E2">
        <v>3</v>
      </c>
    </row>
    <row r="3" spans="1:5" x14ac:dyDescent="0.25">
      <c r="A3" t="s">
        <v>1219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25">
      <c r="A4" t="s">
        <v>1220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25">
      <c r="A5" t="s">
        <v>1222</v>
      </c>
      <c r="B5" t="str">
        <f t="shared" si="0"/>
        <v>Grapa Terminal tipo Recto Cable de Guarda, Ø=1/4"</v>
      </c>
      <c r="C5" t="s">
        <v>3</v>
      </c>
      <c r="D5">
        <v>1</v>
      </c>
      <c r="E5">
        <v>1</v>
      </c>
    </row>
    <row r="6" spans="1:5" x14ac:dyDescent="0.25">
      <c r="A6" t="s">
        <v>1223</v>
      </c>
      <c r="B6" t="str">
        <f t="shared" si="0"/>
        <v>Perno Recto de Ojo de 5/8" x 12"</v>
      </c>
      <c r="C6" t="s">
        <v>3</v>
      </c>
      <c r="D6">
        <v>1</v>
      </c>
      <c r="E6">
        <v>1</v>
      </c>
    </row>
    <row r="7" spans="1:5" x14ac:dyDescent="0.25">
      <c r="A7" t="s">
        <v>1221</v>
      </c>
      <c r="B7" t="str">
        <f t="shared" ref="B7" si="1">VLOOKUP(A7,tmat,2,FALSE)</f>
        <v>Perno Recto de Ojo con Eslabón de 5/8" x 12"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69410C-6340-40E5-A541-37FB382D2C3D}">
          <x14:formula1>
            <xm:f>Materiales!$B$2:$B$259</xm:f>
          </x14:formula1>
          <xm:sqref>A2:A7</xm:sqref>
        </x14:dataValidation>
      </x14:dataValidation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B939-6C1A-4591-BAE3-A45097D232A9}">
  <sheetPr codeName="Hoja155"/>
  <dimension ref="A1:E5"/>
  <sheetViews>
    <sheetView zoomScale="90" zoomScaleNormal="90" workbookViewId="0">
      <selection activeCell="B13" sqref="B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25">
      <c r="A3" t="s">
        <v>1224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25">
      <c r="A4" t="s">
        <v>1220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25">
      <c r="A5" t="s">
        <v>1221</v>
      </c>
      <c r="B5" t="str">
        <f t="shared" si="0"/>
        <v>Perno Recto de Ojo con Eslabón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2B8BAB-ADC8-48D4-9196-8C2424257320}">
          <x14:formula1>
            <xm:f>Materiales!$B$2:$B$259</xm:f>
          </x14:formula1>
          <xm:sqref>A2:A5</xm:sqref>
        </x14:dataValidation>
      </x14:dataValidations>
    </ext>
  </extLst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3615-A2F6-484B-ABAE-D67AD8E2E7FE}">
  <sheetPr codeName="Hoja156"/>
  <dimension ref="A1:E5"/>
  <sheetViews>
    <sheetView zoomScale="90" zoomScaleNormal="90" workbookViewId="0">
      <selection activeCell="A3" sqref="A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1225</v>
      </c>
      <c r="B3" t="str">
        <f t="shared" si="0"/>
        <v>Bayoneta Angular para Soporte de Hilo de Guarda, 48"</v>
      </c>
      <c r="C3" t="s">
        <v>3</v>
      </c>
      <c r="D3">
        <v>1</v>
      </c>
      <c r="E3">
        <v>1</v>
      </c>
    </row>
    <row r="4" spans="1:5" x14ac:dyDescent="0.25">
      <c r="A4" t="s">
        <v>1220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25">
      <c r="A5" t="s">
        <v>1221</v>
      </c>
      <c r="B5" t="str">
        <f t="shared" si="0"/>
        <v>Perno Recto de Ojo con Eslabón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8D52B3-B3AC-4C9F-A4BE-CFF85D4EC9AE}">
          <x14:formula1>
            <xm:f>Materiales!$B$2:$B$259</xm:f>
          </x14:formula1>
          <xm:sqref>A2:A5</xm:sqref>
        </x14:dataValidation>
      </x14:dataValidations>
    </ext>
  </extLst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B4D3-9D34-4294-BCCB-6FAF726D4213}">
  <sheetPr codeName="Hoja157"/>
  <dimension ref="A1:E5"/>
  <sheetViews>
    <sheetView zoomScale="90" zoomScaleNormal="90" workbookViewId="0">
      <selection activeCell="C11" sqref="C1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1224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25">
      <c r="A4" t="s">
        <v>1222</v>
      </c>
      <c r="B4" t="str">
        <f t="shared" si="0"/>
        <v>Grapa Terminal tipo Recto Cable de Guarda, Ø=1/4"</v>
      </c>
      <c r="C4" t="s">
        <v>3</v>
      </c>
      <c r="D4">
        <v>1</v>
      </c>
      <c r="E4">
        <v>1</v>
      </c>
    </row>
    <row r="5" spans="1:5" x14ac:dyDescent="0.25">
      <c r="A5" t="s">
        <v>1223</v>
      </c>
      <c r="B5" t="str">
        <f t="shared" si="0"/>
        <v>Perno Recto de Ojo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E1EDDB-9CAB-4022-A477-C309C15C6D62}">
          <x14:formula1>
            <xm:f>Materiales!$B$2:$B$259</xm:f>
          </x14:formula1>
          <xm:sqref>A2:A5</xm:sqref>
        </x14:dataValidation>
      </x14:dataValidations>
    </ext>
  </extLst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CE17-283E-454A-89BE-53C1C5681BF0}">
  <sheetPr codeName="Hoja158"/>
  <dimension ref="A1:E7"/>
  <sheetViews>
    <sheetView zoomScale="90" zoomScaleNormal="90" workbookViewId="0">
      <selection activeCell="C3" sqref="C3:E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1224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25">
      <c r="A4" t="s">
        <v>1219</v>
      </c>
      <c r="B4" t="str">
        <f t="shared" si="0"/>
        <v>Conector para Cable Acerado</v>
      </c>
      <c r="C4" t="s">
        <v>3</v>
      </c>
      <c r="D4">
        <v>1</v>
      </c>
      <c r="E4">
        <v>1</v>
      </c>
    </row>
    <row r="5" spans="1:5" x14ac:dyDescent="0.25">
      <c r="A5" t="s">
        <v>1222</v>
      </c>
      <c r="B5" t="str">
        <f t="shared" si="0"/>
        <v>Grapa Terminal tipo Recto Cable de Guarda, Ø=1/4"</v>
      </c>
      <c r="C5" t="s">
        <v>3</v>
      </c>
      <c r="D5">
        <v>2</v>
      </c>
      <c r="E5">
        <v>2</v>
      </c>
    </row>
    <row r="6" spans="1:5" x14ac:dyDescent="0.25">
      <c r="A6" t="s">
        <v>1223</v>
      </c>
      <c r="B6" t="str">
        <f t="shared" si="0"/>
        <v>Perno Recto de Ojo de 5/8" x 12"</v>
      </c>
      <c r="C6" t="s">
        <v>3</v>
      </c>
      <c r="D6">
        <v>1</v>
      </c>
      <c r="E6">
        <v>1</v>
      </c>
    </row>
    <row r="7" spans="1:5" x14ac:dyDescent="0.25">
      <c r="A7" t="s">
        <v>333</v>
      </c>
      <c r="B7" t="str">
        <f t="shared" ref="B7" si="1">VLOOKUP(A7,tmat,2,FALSE)</f>
        <v>Tuerca de Ojo de 5/8"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F7C5EF-3BF4-450C-B118-C6608F3E7139}">
          <x14:formula1>
            <xm:f>Materiales!$B$2:$B$259</xm:f>
          </x14:formula1>
          <xm:sqref>A2:A7</xm:sqref>
        </x14:dataValidation>
      </x14:dataValidations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A62F-0C28-4372-9D8E-9FC604A0AA76}">
  <sheetPr codeName="Hoja159"/>
  <dimension ref="A1:E29"/>
  <sheetViews>
    <sheetView zoomScale="85" zoomScaleNormal="85" workbookViewId="0">
      <selection activeCell="I26" sqref="I26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25</v>
      </c>
      <c r="E3">
        <v>25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21</v>
      </c>
      <c r="E4">
        <v>21</v>
      </c>
    </row>
    <row r="5" spans="1:5" x14ac:dyDescent="0.25">
      <c r="A5" t="s">
        <v>383</v>
      </c>
      <c r="B5" t="str">
        <f t="shared" si="0"/>
        <v>Cable Bimetálico Copperweld # 6 AWG, 40%</v>
      </c>
      <c r="C5" t="s">
        <v>1227</v>
      </c>
      <c r="D5">
        <v>20</v>
      </c>
      <c r="E5">
        <v>20</v>
      </c>
    </row>
    <row r="6" spans="1:5" x14ac:dyDescent="0.25">
      <c r="A6" t="s">
        <v>390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396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25">
      <c r="A9" t="s">
        <v>388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25">
      <c r="A10" t="s">
        <v>397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25">
      <c r="A11" t="s">
        <v>400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25">
      <c r="A12" t="s">
        <v>402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25">
      <c r="A13" t="s">
        <v>403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25">
      <c r="A14" t="s">
        <v>399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407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25">
      <c r="A16" t="s">
        <v>408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25">
      <c r="A17" t="s">
        <v>410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412</v>
      </c>
      <c r="B18" t="str">
        <f t="shared" si="0"/>
        <v>Grapa Galvanizada de 1-1/4" (Lb.)</v>
      </c>
      <c r="C18" t="s">
        <v>851</v>
      </c>
      <c r="D18">
        <v>0.3</v>
      </c>
      <c r="E18">
        <v>0.3</v>
      </c>
    </row>
    <row r="19" spans="1:5" x14ac:dyDescent="0.25">
      <c r="A19" t="s">
        <v>346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420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25">
      <c r="A21" t="s">
        <v>348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25">
      <c r="A22" t="s">
        <v>413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25">
      <c r="A23" t="s">
        <v>414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25">
      <c r="A24" t="s">
        <v>417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25">
      <c r="A25" t="s">
        <v>1174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25">
      <c r="A26" t="s">
        <v>347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25">
      <c r="A27" t="s">
        <v>425</v>
      </c>
      <c r="B27" t="str">
        <f t="shared" si="0"/>
        <v>Transformador de 15 KVA, 13.8/7.9 KV., 120/240 V.</v>
      </c>
      <c r="C27" t="s">
        <v>3</v>
      </c>
      <c r="D27">
        <v>0</v>
      </c>
      <c r="E27">
        <v>1</v>
      </c>
    </row>
    <row r="28" spans="1:5" x14ac:dyDescent="0.25">
      <c r="A28" t="s">
        <v>426</v>
      </c>
      <c r="B28" t="str">
        <f t="shared" si="0"/>
        <v>Transformador de 15 KVA, 34.5/19.9 KV., 120/240 V.</v>
      </c>
      <c r="C28" t="s">
        <v>3</v>
      </c>
      <c r="D28">
        <v>1</v>
      </c>
      <c r="E28">
        <v>0</v>
      </c>
    </row>
    <row r="29" spans="1:5" x14ac:dyDescent="0.25">
      <c r="A29" t="s">
        <v>443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B9D066-C348-430D-8DBB-014AC62A60C2}">
          <x14:formula1>
            <xm:f>Materiales!$B$2:$B$259</xm:f>
          </x14:formula1>
          <xm:sqref>A2:A29</xm:sqref>
        </x14:dataValidation>
      </x14:dataValidations>
    </ext>
  </extLst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423B-C434-43EC-B9E7-DB04A8B11A25}">
  <sheetPr codeName="Hoja160"/>
  <dimension ref="A1:E29"/>
  <sheetViews>
    <sheetView zoomScale="85" zoomScaleNormal="85" workbookViewId="0">
      <selection activeCell="C5" sqref="C5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25</v>
      </c>
      <c r="E3">
        <v>25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21</v>
      </c>
      <c r="E4">
        <v>21</v>
      </c>
    </row>
    <row r="5" spans="1:5" x14ac:dyDescent="0.25">
      <c r="A5" t="s">
        <v>383</v>
      </c>
      <c r="B5" t="str">
        <f t="shared" si="0"/>
        <v>Cable Bimetálico Copperweld # 6 AWG, 40%</v>
      </c>
      <c r="C5" t="s">
        <v>1227</v>
      </c>
      <c r="D5">
        <v>20</v>
      </c>
      <c r="E5">
        <v>20</v>
      </c>
    </row>
    <row r="6" spans="1:5" x14ac:dyDescent="0.25">
      <c r="A6" t="s">
        <v>390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396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25">
      <c r="A9" t="s">
        <v>388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25">
      <c r="A10" t="s">
        <v>397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25">
      <c r="A11" t="s">
        <v>400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25">
      <c r="A12" t="s">
        <v>402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25">
      <c r="A13" t="s">
        <v>403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25">
      <c r="A14" t="s">
        <v>399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407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25">
      <c r="A16" t="s">
        <v>408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25">
      <c r="A17" t="s">
        <v>410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412</v>
      </c>
      <c r="B18" t="str">
        <f t="shared" si="0"/>
        <v>Grapa Galvanizada de 1-1/4" (Lb.)</v>
      </c>
      <c r="C18" t="s">
        <v>851</v>
      </c>
      <c r="D18">
        <v>0.3</v>
      </c>
      <c r="E18">
        <v>0.3</v>
      </c>
    </row>
    <row r="19" spans="1:5" x14ac:dyDescent="0.25">
      <c r="A19" t="s">
        <v>346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420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25">
      <c r="A21" t="s">
        <v>348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25">
      <c r="A22" t="s">
        <v>413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25">
      <c r="A23" t="s">
        <v>414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25">
      <c r="A24" t="s">
        <v>417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25">
      <c r="A25" t="s">
        <v>1174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25">
      <c r="A26" t="s">
        <v>347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25">
      <c r="A27" t="s">
        <v>427</v>
      </c>
      <c r="B27" t="str">
        <f t="shared" si="0"/>
        <v>Transformador de 25 KVA, 13.8/7.9 KV., 120/240 V.</v>
      </c>
      <c r="C27" t="s">
        <v>3</v>
      </c>
      <c r="D27">
        <v>1</v>
      </c>
      <c r="E27">
        <v>0</v>
      </c>
    </row>
    <row r="28" spans="1:5" x14ac:dyDescent="0.25">
      <c r="A28" t="s">
        <v>428</v>
      </c>
      <c r="B28" t="str">
        <f t="shared" si="0"/>
        <v>Transformador de 25 KVA, 34.5/19.9 KV., 120/240 V.</v>
      </c>
      <c r="C28" t="s">
        <v>3</v>
      </c>
      <c r="D28">
        <v>0</v>
      </c>
      <c r="E28">
        <v>1</v>
      </c>
    </row>
    <row r="29" spans="1:5" x14ac:dyDescent="0.25">
      <c r="A29" t="s">
        <v>443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79AB90-2DD8-498C-A408-D54F2D88D68B}">
          <x14:formula1>
            <xm:f>Materiales!$B$2:$B$259</xm:f>
          </x14:formula1>
          <xm:sqref>A2:A29</xm:sqref>
        </x14:dataValidation>
      </x14:dataValidations>
    </ext>
  </extLst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001-6982-488E-8B4D-3DB54C7E516B}">
  <sheetPr codeName="Hoja161"/>
  <dimension ref="A1:E29"/>
  <sheetViews>
    <sheetView zoomScale="85" zoomScaleNormal="85" workbookViewId="0">
      <selection activeCell="I34" sqref="I34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25</v>
      </c>
      <c r="E3">
        <v>25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21</v>
      </c>
      <c r="E4">
        <v>21</v>
      </c>
    </row>
    <row r="5" spans="1:5" x14ac:dyDescent="0.25">
      <c r="A5" t="s">
        <v>383</v>
      </c>
      <c r="B5" t="str">
        <f t="shared" si="0"/>
        <v>Cable Bimetálico Copperweld # 6 AWG, 40%</v>
      </c>
      <c r="C5" t="s">
        <v>1227</v>
      </c>
      <c r="D5">
        <v>20</v>
      </c>
      <c r="E5">
        <v>20</v>
      </c>
    </row>
    <row r="6" spans="1:5" x14ac:dyDescent="0.25">
      <c r="A6" t="s">
        <v>390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396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25">
      <c r="A9" t="s">
        <v>388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25">
      <c r="A10" t="s">
        <v>397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25">
      <c r="A11" t="s">
        <v>400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25">
      <c r="A12" t="s">
        <v>402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25">
      <c r="A13" t="s">
        <v>403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25">
      <c r="A14" t="s">
        <v>399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407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25">
      <c r="A16" t="s">
        <v>408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25">
      <c r="A17" t="s">
        <v>410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412</v>
      </c>
      <c r="B18" t="str">
        <f t="shared" si="0"/>
        <v>Grapa Galvanizada de 1-1/4" (Lb.)</v>
      </c>
      <c r="C18" t="s">
        <v>851</v>
      </c>
      <c r="D18">
        <v>0.3</v>
      </c>
      <c r="E18">
        <v>0.3</v>
      </c>
    </row>
    <row r="19" spans="1:5" x14ac:dyDescent="0.25">
      <c r="A19" t="s">
        <v>346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420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25">
      <c r="A21" t="s">
        <v>348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25">
      <c r="A22" t="s">
        <v>413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25">
      <c r="A23" t="s">
        <v>414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25">
      <c r="A24" t="s">
        <v>417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25">
      <c r="A25" t="s">
        <v>1174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25">
      <c r="A26" t="s">
        <v>347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25">
      <c r="A27" t="s">
        <v>430</v>
      </c>
      <c r="B27" t="str">
        <f t="shared" si="0"/>
        <v>Transformador de 37.5 KVA, 34.5/19.9 KV., 120/240 V.</v>
      </c>
      <c r="C27" t="s">
        <v>3</v>
      </c>
      <c r="D27">
        <v>1</v>
      </c>
      <c r="E27">
        <v>0</v>
      </c>
    </row>
    <row r="28" spans="1:5" x14ac:dyDescent="0.25">
      <c r="A28" t="s">
        <v>429</v>
      </c>
      <c r="B28" t="str">
        <f t="shared" si="0"/>
        <v>Transformador de 37.5 KVA, 13.8/7.9 KV., 120/240 V.</v>
      </c>
      <c r="C28" t="s">
        <v>3</v>
      </c>
      <c r="D28">
        <v>0</v>
      </c>
      <c r="E28">
        <v>1</v>
      </c>
    </row>
    <row r="29" spans="1:5" x14ac:dyDescent="0.25">
      <c r="A29" t="s">
        <v>443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ED26D8-A951-4C99-A9A9-614EE858283B}">
          <x14:formula1>
            <xm:f>Materiales!$B$2:$B$259</xm:f>
          </x14:formula1>
          <xm:sqref>A2:A29</xm:sqref>
        </x14:dataValidation>
      </x14:dataValidations>
    </ext>
  </extLst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325F-7BAE-4F69-B449-3D1AB1D4A526}">
  <sheetPr codeName="Hoja162"/>
  <dimension ref="A1:E32"/>
  <sheetViews>
    <sheetView zoomScale="80" zoomScaleNormal="80" workbookViewId="0">
      <selection activeCell="B7" sqref="B7:E1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25</v>
      </c>
      <c r="E3">
        <v>25</v>
      </c>
    </row>
    <row r="4" spans="1:5" x14ac:dyDescent="0.25">
      <c r="A4" t="s">
        <v>381</v>
      </c>
      <c r="B4" t="str">
        <f t="shared" si="0"/>
        <v>Cable de Aluminio Forrado 266.8 MCM Mulberry</v>
      </c>
      <c r="C4" t="s">
        <v>1227</v>
      </c>
      <c r="D4">
        <v>14</v>
      </c>
      <c r="E4">
        <v>14</v>
      </c>
    </row>
    <row r="5" spans="1:5" x14ac:dyDescent="0.25">
      <c r="A5" t="s">
        <v>380</v>
      </c>
      <c r="B5" t="str">
        <f t="shared" si="0"/>
        <v>Cable  de Aluminio Forrado WP # 3/0 AWG Fig</v>
      </c>
      <c r="C5" t="s">
        <v>1227</v>
      </c>
      <c r="D5">
        <v>7</v>
      </c>
      <c r="E5">
        <v>7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20</v>
      </c>
      <c r="E6">
        <v>20</v>
      </c>
    </row>
    <row r="7" spans="1:5" x14ac:dyDescent="0.25">
      <c r="A7" t="s">
        <v>391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396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388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25">
      <c r="A11" t="s">
        <v>397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25">
      <c r="A12" t="s">
        <v>398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25">
      <c r="A13" t="s">
        <v>400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25">
      <c r="A14" t="s">
        <v>404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25">
      <c r="A15" t="s">
        <v>405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25">
      <c r="A22" t="s">
        <v>420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25">
      <c r="A23" t="s">
        <v>348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413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25">
      <c r="A25" t="s">
        <v>414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25">
      <c r="A26" t="s">
        <v>417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1174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25">
      <c r="A28" t="s">
        <v>347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25">
      <c r="A29" t="s">
        <v>417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25">
      <c r="A30" t="s">
        <v>431</v>
      </c>
      <c r="B30" t="str">
        <f t="shared" si="0"/>
        <v>Transformador de 50 KVA, 13.8/7.9 KV., 120/240 V.</v>
      </c>
      <c r="C30" t="s">
        <v>3</v>
      </c>
      <c r="D30">
        <v>0</v>
      </c>
      <c r="E30">
        <v>1</v>
      </c>
    </row>
    <row r="31" spans="1:5" x14ac:dyDescent="0.25">
      <c r="A31" t="s">
        <v>432</v>
      </c>
      <c r="B31" t="str">
        <f t="shared" si="0"/>
        <v>Transformador de 50 KVA, 34.5/19.9 KV., 120/240 V.</v>
      </c>
      <c r="C31" t="s">
        <v>3</v>
      </c>
      <c r="D31">
        <v>1</v>
      </c>
      <c r="E31">
        <v>0</v>
      </c>
    </row>
    <row r="32" spans="1:5" x14ac:dyDescent="0.25">
      <c r="A32" t="s">
        <v>443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0F6E94-AF95-476C-AFE2-9C7161977751}">
          <x14:formula1>
            <xm:f>Materiales!$B$2:$B$259</xm:f>
          </x14:formula1>
          <xm:sqref>A2:A32</xm:sqref>
        </x14:dataValidation>
      </x14:dataValidations>
    </ext>
  </extLst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70C1-832B-4C07-B73F-2930F44C50BC}">
  <sheetPr codeName="Hoja163"/>
  <dimension ref="A1:E32"/>
  <sheetViews>
    <sheetView topLeftCell="A2" zoomScale="92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25</v>
      </c>
      <c r="E3">
        <v>25</v>
      </c>
    </row>
    <row r="4" spans="1:5" x14ac:dyDescent="0.25">
      <c r="A4" t="s">
        <v>381</v>
      </c>
      <c r="B4" t="str">
        <f t="shared" si="0"/>
        <v>Cable de Aluminio Forrado 266.8 MCM Mulberry</v>
      </c>
      <c r="C4" t="s">
        <v>1227</v>
      </c>
      <c r="D4">
        <v>14</v>
      </c>
      <c r="E4">
        <v>14</v>
      </c>
    </row>
    <row r="5" spans="1:5" x14ac:dyDescent="0.25">
      <c r="A5" t="s">
        <v>380</v>
      </c>
      <c r="B5" t="str">
        <f t="shared" si="0"/>
        <v>Cable  de Aluminio Forrado WP # 3/0 AWG Fig</v>
      </c>
      <c r="C5" t="s">
        <v>1227</v>
      </c>
      <c r="D5">
        <v>7</v>
      </c>
      <c r="E5">
        <v>7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20</v>
      </c>
      <c r="E6">
        <v>20</v>
      </c>
    </row>
    <row r="7" spans="1:5" x14ac:dyDescent="0.25">
      <c r="A7" t="s">
        <v>391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396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388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25">
      <c r="A11" t="s">
        <v>397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25">
      <c r="A12" t="s">
        <v>398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25">
      <c r="A13" t="s">
        <v>400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25">
      <c r="A14" t="s">
        <v>404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25">
      <c r="A15" t="s">
        <v>405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25">
      <c r="A22" t="s">
        <v>420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25">
      <c r="A23" t="s">
        <v>348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413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25">
      <c r="A25" t="s">
        <v>414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25">
      <c r="A26" t="s">
        <v>417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1174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25">
      <c r="A28" t="s">
        <v>347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25">
      <c r="A29" t="s">
        <v>417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25">
      <c r="A30" t="s">
        <v>433</v>
      </c>
      <c r="B30" t="str">
        <f t="shared" si="0"/>
        <v>Transformador de 75 KVA, 13.8/7.9 KV., 120/240 V.</v>
      </c>
      <c r="C30" t="s">
        <v>3</v>
      </c>
      <c r="D30">
        <v>0</v>
      </c>
      <c r="E30">
        <v>1</v>
      </c>
    </row>
    <row r="31" spans="1:5" x14ac:dyDescent="0.25">
      <c r="A31" t="s">
        <v>434</v>
      </c>
      <c r="B31" t="str">
        <f t="shared" si="0"/>
        <v>Transformador de 75 KVA, 34.5/19.9 KV., 120/240 V.</v>
      </c>
      <c r="C31" t="s">
        <v>3</v>
      </c>
      <c r="D31">
        <v>1</v>
      </c>
      <c r="E31">
        <v>0</v>
      </c>
    </row>
    <row r="32" spans="1:5" x14ac:dyDescent="0.25">
      <c r="A32" t="s">
        <v>443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2F2E34-41ED-47E4-A840-3FB951A5C7B2}">
          <x14:formula1>
            <xm:f>Materiales!$B$2:$B$259</xm:f>
          </x14:formula1>
          <xm:sqref>A2:A32</xm:sqref>
        </x14:dataValidation>
      </x14:dataValidations>
    </ext>
  </extLst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7ED9-001C-4B93-BD89-13CA059E368A}">
  <sheetPr codeName="Hoja164"/>
  <dimension ref="A1:E32"/>
  <sheetViews>
    <sheetView topLeftCell="A2" zoomScale="92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25</v>
      </c>
      <c r="E3">
        <v>25</v>
      </c>
    </row>
    <row r="4" spans="1:5" x14ac:dyDescent="0.25">
      <c r="A4" t="s">
        <v>381</v>
      </c>
      <c r="B4" t="str">
        <f t="shared" si="0"/>
        <v>Cable de Aluminio Forrado 266.8 MCM Mulberry</v>
      </c>
      <c r="C4" t="s">
        <v>1227</v>
      </c>
      <c r="D4">
        <v>14</v>
      </c>
      <c r="E4">
        <v>14</v>
      </c>
    </row>
    <row r="5" spans="1:5" x14ac:dyDescent="0.25">
      <c r="A5" t="s">
        <v>380</v>
      </c>
      <c r="B5" t="str">
        <f t="shared" si="0"/>
        <v>Cable  de Aluminio Forrado WP # 3/0 AWG Fig</v>
      </c>
      <c r="C5" t="s">
        <v>1227</v>
      </c>
      <c r="D5">
        <v>7</v>
      </c>
      <c r="E5">
        <v>7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20</v>
      </c>
      <c r="E6">
        <v>20</v>
      </c>
    </row>
    <row r="7" spans="1:5" x14ac:dyDescent="0.25">
      <c r="A7" t="s">
        <v>391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396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388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25">
      <c r="A11" t="s">
        <v>397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25">
      <c r="A12" t="s">
        <v>398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25">
      <c r="A13" t="s">
        <v>400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25">
      <c r="A14" t="s">
        <v>404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25">
      <c r="A15" t="s">
        <v>405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25">
      <c r="A22" t="s">
        <v>420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25">
      <c r="A23" t="s">
        <v>348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413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25">
      <c r="A25" t="s">
        <v>414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25">
      <c r="A26" t="s">
        <v>417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1174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25">
      <c r="A28" t="s">
        <v>347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25">
      <c r="A29" t="s">
        <v>417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25">
      <c r="A30" t="s">
        <v>435</v>
      </c>
      <c r="B30" t="str">
        <f t="shared" si="0"/>
        <v>Transformador de 100 KVA, 13.8/7.9 KV., 120/240 V.</v>
      </c>
      <c r="C30" t="s">
        <v>3</v>
      </c>
      <c r="D30">
        <v>0</v>
      </c>
      <c r="E30">
        <v>1</v>
      </c>
    </row>
    <row r="31" spans="1:5" x14ac:dyDescent="0.25">
      <c r="A31" t="s">
        <v>436</v>
      </c>
      <c r="B31" t="str">
        <f t="shared" si="0"/>
        <v>Transformador de 100 KVA, 34.5/19.9 KV., 120/240 V.</v>
      </c>
      <c r="C31" t="s">
        <v>3</v>
      </c>
      <c r="D31">
        <v>1</v>
      </c>
      <c r="E31">
        <v>0</v>
      </c>
    </row>
    <row r="32" spans="1:5" x14ac:dyDescent="0.25">
      <c r="A32" t="s">
        <v>443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1534AD-1F38-40F9-A4EB-507DCC110668}">
          <x14:formula1>
            <xm:f>Materiales!$B$2:$B$259</xm:f>
          </x14:formula1>
          <xm:sqref>A2:A32</xm:sqref>
        </x14:dataValidation>
      </x14:dataValidations>
    </ext>
  </extLst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64F-1936-41A9-80DD-4F019E81C59A}">
  <sheetPr codeName="Hoja165"/>
  <dimension ref="A1:E29"/>
  <sheetViews>
    <sheetView zoomScale="85" zoomScaleNormal="85" workbookViewId="0">
      <selection activeCell="D16" sqref="D16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30</v>
      </c>
      <c r="E4">
        <v>30</v>
      </c>
    </row>
    <row r="5" spans="1:5" x14ac:dyDescent="0.25">
      <c r="A5" t="s">
        <v>383</v>
      </c>
      <c r="B5" t="str">
        <f t="shared" si="0"/>
        <v>Cable Bimetálico Copperweld # 6 AWG, 40%</v>
      </c>
      <c r="C5" t="s">
        <v>1227</v>
      </c>
      <c r="D5">
        <v>20</v>
      </c>
      <c r="E5">
        <v>20</v>
      </c>
    </row>
    <row r="6" spans="1:5" x14ac:dyDescent="0.25">
      <c r="A6" t="s">
        <v>390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388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25">
      <c r="A9" t="s">
        <v>396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402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25">
      <c r="A11" t="s">
        <v>403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25">
      <c r="A12" t="s">
        <v>401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25">
      <c r="A13" t="s">
        <v>397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25">
      <c r="A14" t="s">
        <v>399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407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25">
      <c r="A16" t="s">
        <v>408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25">
      <c r="A17" t="s">
        <v>410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412</v>
      </c>
      <c r="B18" t="str">
        <f t="shared" si="0"/>
        <v>Grapa Galvanizada de 1-1/4" (Lb.)</v>
      </c>
      <c r="C18" t="s">
        <v>851</v>
      </c>
      <c r="D18">
        <v>0.3</v>
      </c>
      <c r="E18">
        <v>0.3</v>
      </c>
    </row>
    <row r="19" spans="1:5" x14ac:dyDescent="0.25">
      <c r="A19" t="s">
        <v>346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1174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25">
      <c r="A21" t="s">
        <v>347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25">
      <c r="A22" t="s">
        <v>420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25">
      <c r="A23" t="s">
        <v>348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413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25">
      <c r="A25" t="s">
        <v>414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25">
      <c r="A26" t="s">
        <v>417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425</v>
      </c>
      <c r="B27" t="str">
        <f t="shared" si="0"/>
        <v>Transformador de 15 KVA, 13.8/7.9 KV., 120/240 V.</v>
      </c>
      <c r="C27" t="s">
        <v>3</v>
      </c>
      <c r="D27">
        <v>0</v>
      </c>
      <c r="E27">
        <v>2</v>
      </c>
    </row>
    <row r="28" spans="1:5" x14ac:dyDescent="0.25">
      <c r="A28" t="s">
        <v>426</v>
      </c>
      <c r="B28" t="str">
        <f t="shared" si="0"/>
        <v>Transformador de 15 KVA, 34.5/19.9 KV., 120/240 V.</v>
      </c>
      <c r="C28" t="s">
        <v>3</v>
      </c>
      <c r="D28">
        <v>2</v>
      </c>
      <c r="E28">
        <v>0</v>
      </c>
    </row>
    <row r="29" spans="1:5" x14ac:dyDescent="0.25">
      <c r="A29" t="s">
        <v>443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C3C246-DFB8-460E-A848-65DEA8A7B2E5}">
          <x14:formula1>
            <xm:f>Materiales!$B$2:$B$259</xm:f>
          </x14:formula1>
          <xm:sqref>A2:A29</xm:sqref>
        </x14:dataValidation>
      </x14:dataValidations>
    </ext>
  </extLst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30D2-185A-4449-B05F-5FC2CABADEE4}">
  <sheetPr codeName="Hoja166"/>
  <dimension ref="A1:E29"/>
  <sheetViews>
    <sheetView zoomScale="85" zoomScaleNormal="85" workbookViewId="0">
      <selection activeCell="A16" sqref="A16:XFD16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30</v>
      </c>
      <c r="E4">
        <v>30</v>
      </c>
    </row>
    <row r="5" spans="1:5" x14ac:dyDescent="0.25">
      <c r="A5" t="s">
        <v>383</v>
      </c>
      <c r="B5" t="str">
        <f t="shared" si="0"/>
        <v>Cable Bimetálico Copperweld # 6 AWG, 40%</v>
      </c>
      <c r="C5" t="s">
        <v>1227</v>
      </c>
      <c r="D5">
        <v>20</v>
      </c>
      <c r="E5">
        <v>20</v>
      </c>
    </row>
    <row r="6" spans="1:5" x14ac:dyDescent="0.25">
      <c r="A6" t="s">
        <v>390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388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25">
      <c r="A9" t="s">
        <v>396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402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25">
      <c r="A11" t="s">
        <v>403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25">
      <c r="A12" t="s">
        <v>401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25">
      <c r="A13" t="s">
        <v>397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25">
      <c r="A14" t="s">
        <v>399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407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25">
      <c r="A16" t="s">
        <v>408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25">
      <c r="A17" t="s">
        <v>410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412</v>
      </c>
      <c r="B18" t="str">
        <f t="shared" si="0"/>
        <v>Grapa Galvanizada de 1-1/4" (Lb.)</v>
      </c>
      <c r="C18" t="s">
        <v>851</v>
      </c>
      <c r="D18">
        <v>0.3</v>
      </c>
      <c r="E18">
        <v>0.3</v>
      </c>
    </row>
    <row r="19" spans="1:5" x14ac:dyDescent="0.25">
      <c r="A19" t="s">
        <v>346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1174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25">
      <c r="A21" t="s">
        <v>347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25">
      <c r="A22" t="s">
        <v>420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25">
      <c r="A23" t="s">
        <v>348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413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25">
      <c r="A25" t="s">
        <v>414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25">
      <c r="A26" t="s">
        <v>417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427</v>
      </c>
      <c r="B27" t="str">
        <f>VLOOKUP(A27,tmat,2,FALSE)</f>
        <v>Transformador de 25 KVA, 13.8/7.9 KV., 120/240 V.</v>
      </c>
      <c r="C27" t="s">
        <v>3</v>
      </c>
      <c r="D27">
        <v>0</v>
      </c>
      <c r="E27">
        <v>2</v>
      </c>
    </row>
    <row r="28" spans="1:5" x14ac:dyDescent="0.25">
      <c r="A28" t="s">
        <v>428</v>
      </c>
      <c r="B28" t="str">
        <f t="shared" si="0"/>
        <v>Transformador de 25 KVA, 34.5/19.9 KV., 120/240 V.</v>
      </c>
      <c r="C28" t="s">
        <v>3</v>
      </c>
      <c r="D28">
        <v>2</v>
      </c>
      <c r="E28">
        <v>0</v>
      </c>
    </row>
    <row r="29" spans="1:5" x14ac:dyDescent="0.25">
      <c r="A29" t="s">
        <v>443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D83EC4-CAD0-45CD-8C21-84B27651A91D}">
          <x14:formula1>
            <xm:f>Materiales!$B$2:$B$259</xm:f>
          </x14:formula1>
          <xm:sqref>A2:A29</xm:sqref>
        </x14:dataValidation>
      </x14:dataValidations>
    </ext>
  </extLst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6388-9D3F-4649-BC0C-80044FE7BD66}">
  <sheetPr codeName="Hoja167"/>
  <dimension ref="A1:E29"/>
  <sheetViews>
    <sheetView zoomScale="85" zoomScaleNormal="85" workbookViewId="0">
      <selection activeCell="A16" sqref="A16:XFD16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30</v>
      </c>
      <c r="E4">
        <v>30</v>
      </c>
    </row>
    <row r="5" spans="1:5" x14ac:dyDescent="0.25">
      <c r="A5" t="s">
        <v>383</v>
      </c>
      <c r="B5" t="str">
        <f t="shared" si="0"/>
        <v>Cable Bimetálico Copperweld # 6 AWG, 40%</v>
      </c>
      <c r="C5" t="s">
        <v>1227</v>
      </c>
      <c r="D5">
        <v>20</v>
      </c>
      <c r="E5">
        <v>20</v>
      </c>
    </row>
    <row r="6" spans="1:5" x14ac:dyDescent="0.25">
      <c r="A6" t="s">
        <v>390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392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388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25">
      <c r="A9" t="s">
        <v>396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402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25">
      <c r="A11" t="s">
        <v>403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25">
      <c r="A12" t="s">
        <v>401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25">
      <c r="A13" t="s">
        <v>397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25">
      <c r="A14" t="s">
        <v>399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407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25">
      <c r="A16" t="s">
        <v>408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25">
      <c r="A17" t="s">
        <v>410</v>
      </c>
      <c r="B17" t="str">
        <f t="shared" si="0"/>
        <v>Grapa para Linea Viva</v>
      </c>
      <c r="C17" t="s">
        <v>3</v>
      </c>
      <c r="D17">
        <v>2</v>
      </c>
      <c r="E17">
        <v>2</v>
      </c>
    </row>
    <row r="18" spans="1:5" x14ac:dyDescent="0.25">
      <c r="A18" t="s">
        <v>412</v>
      </c>
      <c r="B18" t="str">
        <f t="shared" si="0"/>
        <v>Grapa Galvanizada de 1-1/4" (Lb.)</v>
      </c>
      <c r="C18" t="s">
        <v>851</v>
      </c>
      <c r="D18">
        <v>0.3</v>
      </c>
      <c r="E18">
        <v>0.3</v>
      </c>
    </row>
    <row r="19" spans="1:5" x14ac:dyDescent="0.25">
      <c r="A19" t="s">
        <v>346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1174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25">
      <c r="A21" t="s">
        <v>347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25">
      <c r="A22" t="s">
        <v>420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25">
      <c r="A23" t="s">
        <v>348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413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25">
      <c r="A25" t="s">
        <v>414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25">
      <c r="A26" t="s">
        <v>417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429</v>
      </c>
      <c r="B27" t="str">
        <f>VLOOKUP(A27,tmat,2,FALSE)</f>
        <v>Transformador de 37.5 KVA, 13.8/7.9 KV., 120/240 V.</v>
      </c>
      <c r="C27" t="s">
        <v>3</v>
      </c>
      <c r="D27">
        <v>0</v>
      </c>
      <c r="E27">
        <v>2</v>
      </c>
    </row>
    <row r="28" spans="1:5" x14ac:dyDescent="0.25">
      <c r="A28" t="s">
        <v>430</v>
      </c>
      <c r="B28" t="str">
        <f t="shared" si="0"/>
        <v>Transformador de 37.5 KVA, 34.5/19.9 KV., 120/240 V.</v>
      </c>
      <c r="C28" t="s">
        <v>3</v>
      </c>
      <c r="D28">
        <v>2</v>
      </c>
      <c r="E28">
        <v>0</v>
      </c>
    </row>
    <row r="29" spans="1:5" x14ac:dyDescent="0.25">
      <c r="A29" t="s">
        <v>443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9921AF-BFB9-4FA7-8997-DD545A1F1440}">
          <x14:formula1>
            <xm:f>Materiales!$B$2:$B$259</xm:f>
          </x14:formula1>
          <xm:sqref>A2:A29</xm:sqref>
        </x14:dataValidation>
      </x14:dataValidations>
    </ext>
  </extLst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2AEE-4F4A-442A-B3D1-F96BA1EE24B2}">
  <sheetPr codeName="Hoja168"/>
  <dimension ref="A1:E31"/>
  <sheetViews>
    <sheetView zoomScale="85" zoomScaleNormal="85" workbookViewId="0">
      <selection activeCell="I13" sqref="I13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7</v>
      </c>
      <c r="E4">
        <v>7</v>
      </c>
    </row>
    <row r="5" spans="1:5" x14ac:dyDescent="0.25">
      <c r="A5" t="s">
        <v>381</v>
      </c>
      <c r="B5" t="str">
        <f t="shared" ref="B5" si="1">VLOOKUP(A5,tmat,2,FALSE)</f>
        <v>Cable de Aluminio Forrado 266.8 MCM Mulberry</v>
      </c>
      <c r="C5" t="s">
        <v>1227</v>
      </c>
      <c r="D5">
        <v>23</v>
      </c>
      <c r="E5">
        <v>23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25</v>
      </c>
      <c r="E6">
        <v>25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388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25">
      <c r="A10" t="s">
        <v>396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402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25">
      <c r="A12" t="s">
        <v>403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25">
      <c r="A13" t="s">
        <v>401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398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25">
      <c r="A15" t="s">
        <v>397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25">
      <c r="A29" t="s">
        <v>431</v>
      </c>
      <c r="B29" t="str">
        <f>VLOOKUP(A29,tmat,2,FALSE)</f>
        <v>Transformador de 50 KVA, 13.8/7.9 KV., 120/240 V.</v>
      </c>
      <c r="C29" t="s">
        <v>3</v>
      </c>
      <c r="D29">
        <v>0</v>
      </c>
      <c r="E29">
        <v>2</v>
      </c>
    </row>
    <row r="30" spans="1:5" x14ac:dyDescent="0.25">
      <c r="A30" t="s">
        <v>432</v>
      </c>
      <c r="B30" t="str">
        <f t="shared" si="0"/>
        <v>Transformador de 50 KVA, 34.5/19.9 KV., 120/240 V.</v>
      </c>
      <c r="C30" t="s">
        <v>3</v>
      </c>
      <c r="D30">
        <v>2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66D4E8-E650-4091-8E14-A63F99A9333A}">
          <x14:formula1>
            <xm:f>Materiales!$B$2:$B$259</xm:f>
          </x14:formula1>
          <xm:sqref>A2:A31</xm:sqref>
        </x14:dataValidation>
      </x14:dataValidations>
    </ext>
  </extLst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5435-7735-443D-AF14-0DD960659A36}">
  <sheetPr codeName="Hoja169"/>
  <dimension ref="A1:E31"/>
  <sheetViews>
    <sheetView zoomScale="85" zoomScaleNormal="85" workbookViewId="0">
      <selection activeCell="B18" sqref="B18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7</v>
      </c>
      <c r="E4">
        <v>7</v>
      </c>
    </row>
    <row r="5" spans="1:5" x14ac:dyDescent="0.25">
      <c r="A5" t="s">
        <v>381</v>
      </c>
      <c r="B5" t="str">
        <f t="shared" ref="B5" si="1">VLOOKUP(A5,tmat,2,FALSE)</f>
        <v>Cable de Aluminio Forrado 266.8 MCM Mulberry</v>
      </c>
      <c r="C5" t="s">
        <v>1227</v>
      </c>
      <c r="D5">
        <v>23</v>
      </c>
      <c r="E5">
        <v>23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25</v>
      </c>
      <c r="E6">
        <v>25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388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25">
      <c r="A10" t="s">
        <v>396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402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25">
      <c r="A12" t="s">
        <v>403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25">
      <c r="A13" t="s">
        <v>401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398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25">
      <c r="A15" t="s">
        <v>397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25">
      <c r="A29" t="s">
        <v>433</v>
      </c>
      <c r="B29" t="str">
        <f>VLOOKUP(A29,tmat,2,FALSE)</f>
        <v>Transformador de 75 KVA, 13.8/7.9 KV., 120/240 V.</v>
      </c>
      <c r="C29" t="s">
        <v>3</v>
      </c>
      <c r="D29">
        <v>0</v>
      </c>
      <c r="E29">
        <v>2</v>
      </c>
    </row>
    <row r="30" spans="1:5" x14ac:dyDescent="0.25">
      <c r="A30" t="s">
        <v>434</v>
      </c>
      <c r="B30" t="str">
        <f t="shared" si="0"/>
        <v>Transformador de 75 KVA, 34.5/19.9 KV., 120/240 V.</v>
      </c>
      <c r="C30" t="s">
        <v>3</v>
      </c>
      <c r="D30">
        <v>2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3AD0AE-6AE8-43E8-A8E8-744A99E8A526}">
          <x14:formula1>
            <xm:f>Materiales!$B$2:$B$259</xm:f>
          </x14:formula1>
          <xm:sqref>A2:A31</xm:sqref>
        </x14:dataValidation>
      </x14:dataValidations>
    </ext>
  </extLst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B66F-54DE-4694-9CF3-272DAAD98BF6}">
  <sheetPr codeName="Hoja170"/>
  <dimension ref="A1:E31"/>
  <sheetViews>
    <sheetView zoomScale="85" zoomScaleNormal="85" workbookViewId="0">
      <selection activeCell="I27" sqref="I27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7</v>
      </c>
      <c r="E4">
        <v>7</v>
      </c>
    </row>
    <row r="5" spans="1:5" x14ac:dyDescent="0.25">
      <c r="A5" t="s">
        <v>381</v>
      </c>
      <c r="B5" t="str">
        <f t="shared" ref="B5" si="1">VLOOKUP(A5,tmat,2,FALSE)</f>
        <v>Cable de Aluminio Forrado 266.8 MCM Mulberry</v>
      </c>
      <c r="C5" t="s">
        <v>1227</v>
      </c>
      <c r="D5">
        <v>23</v>
      </c>
      <c r="E5">
        <v>23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25</v>
      </c>
      <c r="E6">
        <v>25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388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25">
      <c r="A10" t="s">
        <v>396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402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25">
      <c r="A12" t="s">
        <v>403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25">
      <c r="A13" t="s">
        <v>401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398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25">
      <c r="A15" t="s">
        <v>397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25">
      <c r="A29" t="s">
        <v>435</v>
      </c>
      <c r="B29" t="str">
        <f>VLOOKUP(A29,tmat,2,FALSE)</f>
        <v>Transformador de 100 KVA, 13.8/7.9 KV., 120/240 V.</v>
      </c>
      <c r="C29" t="s">
        <v>3</v>
      </c>
      <c r="D29">
        <v>0</v>
      </c>
      <c r="E29">
        <v>2</v>
      </c>
    </row>
    <row r="30" spans="1:5" x14ac:dyDescent="0.25">
      <c r="A30" t="s">
        <v>436</v>
      </c>
      <c r="B30" t="str">
        <f t="shared" si="0"/>
        <v>Transformador de 100 KVA, 34.5/19.9 KV., 120/240 V.</v>
      </c>
      <c r="C30" t="s">
        <v>3</v>
      </c>
      <c r="D30">
        <v>2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39693-0774-43B8-8043-E34D3A58C4B6}">
          <x14:formula1>
            <xm:f>Materiales!$B$2:$B$259</xm:f>
          </x14:formula1>
          <xm:sqref>A2:A31</xm:sqref>
        </x14:dataValidation>
      </x14:dataValidations>
    </ext>
  </extLst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570A-934C-4025-9C2B-A63984628386}">
  <sheetPr codeName="Hoja171"/>
  <dimension ref="A1:E31"/>
  <sheetViews>
    <sheetView zoomScale="85" zoomScaleNormal="85" workbookViewId="0">
      <selection activeCell="K27" sqref="K27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383</v>
      </c>
      <c r="B4" t="str">
        <f t="shared" ref="B4" si="1">VLOOKUP(A4,tmat,2,FALSE)</f>
        <v>Cable Bimetálico Copperweld # 6 AWG, 40%</v>
      </c>
      <c r="C4" t="s">
        <v>1227</v>
      </c>
      <c r="D4">
        <v>20</v>
      </c>
      <c r="E4">
        <v>20</v>
      </c>
    </row>
    <row r="5" spans="1:5" x14ac:dyDescent="0.25">
      <c r="A5" t="s">
        <v>380</v>
      </c>
      <c r="B5" t="str">
        <f t="shared" si="0"/>
        <v>Cable  de Aluminio Forrado WP # 3/0 AWG Fig</v>
      </c>
      <c r="C5" t="s">
        <v>1227</v>
      </c>
      <c r="D5">
        <v>40</v>
      </c>
      <c r="E5">
        <v>40</v>
      </c>
    </row>
    <row r="6" spans="1:5" x14ac:dyDescent="0.25">
      <c r="A6" t="s">
        <v>401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396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388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25">
      <c r="A11" t="s">
        <v>397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25">
      <c r="A12" t="s">
        <v>402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25">
      <c r="A13" t="s">
        <v>403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25">
      <c r="A14" t="s">
        <v>407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25">
      <c r="A15" t="s">
        <v>408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25">
      <c r="A16" t="s">
        <v>410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25">
      <c r="A17" t="s">
        <v>399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25">
      <c r="A18" t="s">
        <v>407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425</v>
      </c>
      <c r="B29" t="str">
        <f t="shared" si="0"/>
        <v>Transformador de 15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426</v>
      </c>
      <c r="B30" t="str">
        <f t="shared" si="0"/>
        <v>Transformador de 15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9917F8-C820-410C-84B5-6016026549A5}">
          <x14:formula1>
            <xm:f>Materiales!$B$2:$B$259</xm:f>
          </x14:formula1>
          <xm:sqref>A2:A31</xm:sqref>
        </x14:dataValidation>
      </x14:dataValidations>
    </ext>
  </extLst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3676-C0F9-4A2E-8E01-6F0E198411C1}">
  <sheetPr codeName="Hoja172"/>
  <dimension ref="A1:E31"/>
  <sheetViews>
    <sheetView zoomScale="85" zoomScaleNormal="85" workbookViewId="0">
      <selection activeCell="D11" sqref="D11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383</v>
      </c>
      <c r="B4" t="str">
        <f t="shared" ref="B4" si="1">VLOOKUP(A4,tmat,2,FALSE)</f>
        <v>Cable Bimetálico Copperweld # 6 AWG, 40%</v>
      </c>
      <c r="C4" t="s">
        <v>1227</v>
      </c>
      <c r="D4">
        <v>20</v>
      </c>
      <c r="E4">
        <v>20</v>
      </c>
    </row>
    <row r="5" spans="1:5" x14ac:dyDescent="0.25">
      <c r="A5" t="s">
        <v>380</v>
      </c>
      <c r="B5" t="str">
        <f t="shared" si="0"/>
        <v>Cable  de Aluminio Forrado WP # 3/0 AWG Fig</v>
      </c>
      <c r="C5" t="s">
        <v>1227</v>
      </c>
      <c r="D5">
        <v>40</v>
      </c>
      <c r="E5">
        <v>40</v>
      </c>
    </row>
    <row r="6" spans="1:5" x14ac:dyDescent="0.25">
      <c r="A6" t="s">
        <v>401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396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388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25">
      <c r="A11" t="s">
        <v>397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25">
      <c r="A12" t="s">
        <v>402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25">
      <c r="A13" t="s">
        <v>403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25">
      <c r="A14" t="s">
        <v>407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25">
      <c r="A15" t="s">
        <v>408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25">
      <c r="A16" t="s">
        <v>410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25">
      <c r="A17" t="s">
        <v>399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25">
      <c r="A18" t="s">
        <v>407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427</v>
      </c>
      <c r="B29" t="str">
        <f t="shared" si="0"/>
        <v>Transformador de 25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428</v>
      </c>
      <c r="B30" t="str">
        <f t="shared" si="0"/>
        <v>Transformador de 25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24DFD6-6875-431F-AE02-3DDF20AC0508}">
          <x14:formula1>
            <xm:f>Materiales!$B$2:$B$259</xm:f>
          </x14:formula1>
          <xm:sqref>A2:A31</xm:sqref>
        </x14:dataValidation>
      </x14:dataValidations>
    </ext>
  </extLst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AF23-9144-4072-BFE6-17B513C818A3}">
  <sheetPr codeName="Hoja173"/>
  <dimension ref="A1:E31"/>
  <sheetViews>
    <sheetView zoomScale="85" zoomScaleNormal="85" workbookViewId="0">
      <selection activeCell="L10" sqref="L10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383</v>
      </c>
      <c r="B4" t="str">
        <f t="shared" ref="B4" si="1">VLOOKUP(A4,tmat,2,FALSE)</f>
        <v>Cable Bimetálico Copperweld # 6 AWG, 40%</v>
      </c>
      <c r="C4" t="s">
        <v>1227</v>
      </c>
      <c r="D4">
        <v>20</v>
      </c>
      <c r="E4">
        <v>20</v>
      </c>
    </row>
    <row r="5" spans="1:5" x14ac:dyDescent="0.25">
      <c r="A5" t="s">
        <v>380</v>
      </c>
      <c r="B5" t="str">
        <f t="shared" si="0"/>
        <v>Cable  de Aluminio Forrado WP # 3/0 AWG Fig</v>
      </c>
      <c r="C5" t="s">
        <v>1227</v>
      </c>
      <c r="D5">
        <v>40</v>
      </c>
      <c r="E5">
        <v>40</v>
      </c>
    </row>
    <row r="6" spans="1:5" x14ac:dyDescent="0.25">
      <c r="A6" t="s">
        <v>401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396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388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25">
      <c r="A11" t="s">
        <v>397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25">
      <c r="A12" t="s">
        <v>402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25">
      <c r="A13" t="s">
        <v>403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25">
      <c r="A14" t="s">
        <v>407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25">
      <c r="A15" t="s">
        <v>408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25">
      <c r="A16" t="s">
        <v>410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25">
      <c r="A17" t="s">
        <v>399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25">
      <c r="A18" t="s">
        <v>407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429</v>
      </c>
      <c r="B29" t="str">
        <f t="shared" si="0"/>
        <v>Transformador de 37.5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430</v>
      </c>
      <c r="B30" t="str">
        <f t="shared" si="0"/>
        <v>Transformador de 37.5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1AB45A-0159-4759-844C-D7C7A1105209}">
          <x14:formula1>
            <xm:f>Materiales!$B$2:$B$259</xm:f>
          </x14:formula1>
          <xm:sqref>A2:A31</xm:sqref>
        </x14:dataValidation>
      </x14:dataValidations>
    </ext>
  </extLst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BBAA-693B-4D2F-88EB-2CD46F15D6C7}">
  <sheetPr codeName="Hoja174"/>
  <dimension ref="A1:E31"/>
  <sheetViews>
    <sheetView zoomScale="85" zoomScaleNormal="85" workbookViewId="0">
      <selection activeCell="I15" sqref="I15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7</v>
      </c>
      <c r="E4">
        <v>7</v>
      </c>
    </row>
    <row r="5" spans="1:5" x14ac:dyDescent="0.25">
      <c r="A5" t="s">
        <v>381</v>
      </c>
      <c r="B5" t="str">
        <f t="shared" ref="B5" si="1">VLOOKUP(A5,tmat,2,FALSE)</f>
        <v>Cable de Aluminio Forrado 266.8 MCM Mulberry</v>
      </c>
      <c r="C5" t="s">
        <v>1227</v>
      </c>
      <c r="D5">
        <v>40</v>
      </c>
      <c r="E5">
        <v>40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25</v>
      </c>
      <c r="E6">
        <v>25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25">
      <c r="A9" t="s">
        <v>388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25">
      <c r="A10" t="s">
        <v>396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402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3</v>
      </c>
    </row>
    <row r="12" spans="1:5" x14ac:dyDescent="0.25">
      <c r="A12" t="s">
        <v>403</v>
      </c>
      <c r="B12" t="str">
        <f>VLOOKUP(A12,tmat,2,FALSE)</f>
        <v>Cuchilla Portafusible de Porcelana 100 AMP. Normal, 34.5 KV.</v>
      </c>
      <c r="C12" t="s">
        <v>3</v>
      </c>
      <c r="D12">
        <v>3</v>
      </c>
      <c r="E12">
        <v>0</v>
      </c>
    </row>
    <row r="13" spans="1:5" x14ac:dyDescent="0.25">
      <c r="A13" t="s">
        <v>401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398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25">
      <c r="A15" t="s">
        <v>397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431</v>
      </c>
      <c r="B29" t="str">
        <f>VLOOKUP(A29,tmat,2,FALSE)</f>
        <v>Transformador de 50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432</v>
      </c>
      <c r="B30" t="str">
        <f t="shared" si="0"/>
        <v>Transformador de 50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C8353F-2725-4342-9CE5-FA3725F797BB}">
          <x14:formula1>
            <xm:f>Materiales!$B$2:$B$259</xm:f>
          </x14:formula1>
          <xm:sqref>A2:A31</xm:sqref>
        </x14:dataValidation>
      </x14:dataValidations>
    </ext>
  </extLst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98B0-79AE-43CC-8BAB-E8FE67AE79B0}">
  <sheetPr codeName="Hoja175"/>
  <dimension ref="A1:E32"/>
  <sheetViews>
    <sheetView zoomScale="85" zoomScaleNormal="85" workbookViewId="0">
      <selection activeCell="J25" sqref="J25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7</v>
      </c>
      <c r="E4">
        <v>7</v>
      </c>
    </row>
    <row r="5" spans="1:5" x14ac:dyDescent="0.25">
      <c r="A5" t="s">
        <v>381</v>
      </c>
      <c r="B5" t="str">
        <f t="shared" ref="B5" si="1">VLOOKUP(A5,tmat,2,FALSE)</f>
        <v>Cable de Aluminio Forrado 266.8 MCM Mulberry</v>
      </c>
      <c r="C5" t="s">
        <v>1227</v>
      </c>
      <c r="D5">
        <v>40</v>
      </c>
      <c r="E5">
        <v>40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25</v>
      </c>
      <c r="E6">
        <v>25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25">
      <c r="A9" t="s">
        <v>388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25">
      <c r="A10" t="s">
        <v>396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402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3</v>
      </c>
    </row>
    <row r="12" spans="1:5" x14ac:dyDescent="0.25">
      <c r="A12" t="s">
        <v>403</v>
      </c>
      <c r="B12" t="str">
        <f>VLOOKUP(A12,tmat,2,FALSE)</f>
        <v>Cuchilla Portafusible de Porcelana 100 AMP. Normal, 34.5 KV.</v>
      </c>
      <c r="C12" t="s">
        <v>3</v>
      </c>
      <c r="D12">
        <v>3</v>
      </c>
      <c r="E12">
        <v>0</v>
      </c>
    </row>
    <row r="13" spans="1:5" x14ac:dyDescent="0.25">
      <c r="A13" t="s">
        <v>401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398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25">
      <c r="A15" t="s">
        <v>397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433</v>
      </c>
      <c r="B29" t="str">
        <f>VLOOKUP(A29,tmat,2,FALSE)</f>
        <v>Transformador de 75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434</v>
      </c>
      <c r="B30" t="str">
        <f t="shared" si="0"/>
        <v>Transformador de 75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  <row r="32" spans="1:5" x14ac:dyDescent="0.25">
      <c r="A32" t="s">
        <v>1228</v>
      </c>
      <c r="B32" t="str">
        <f t="shared" ref="B32" si="5">VLOOKUP(A32,tmat,2,FALSE)</f>
        <v>Soporte Metalico para Montaje de Tres Transformadores en Poste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FE92F7-1F6D-45BC-B523-89E739360539}">
          <x14:formula1>
            <xm:f>Materiales!$B$2:$B$259</xm:f>
          </x14:formula1>
          <xm:sqref>A2:A32</xm:sqref>
        </x14:dataValidation>
      </x14:dataValidations>
    </ext>
  </extLst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FF7D-F4CE-48BD-A337-D1F66C3C099B}">
  <sheetPr codeName="Hoja176"/>
  <dimension ref="A1:E32"/>
  <sheetViews>
    <sheetView zoomScale="85" zoomScaleNormal="85" workbookViewId="0">
      <selection activeCell="B32" sqref="B32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385</v>
      </c>
      <c r="B3" t="str">
        <f t="shared" si="0"/>
        <v>Cable de Cobre # 6 Sólido</v>
      </c>
      <c r="C3" t="s">
        <v>1227</v>
      </c>
      <c r="D3">
        <v>40</v>
      </c>
      <c r="E3">
        <v>40</v>
      </c>
    </row>
    <row r="4" spans="1:5" x14ac:dyDescent="0.25">
      <c r="A4" t="s">
        <v>380</v>
      </c>
      <c r="B4" t="str">
        <f t="shared" si="0"/>
        <v>Cable  de Aluminio Forrado WP # 3/0 AWG Fig</v>
      </c>
      <c r="C4" t="s">
        <v>1227</v>
      </c>
      <c r="D4">
        <v>7</v>
      </c>
      <c r="E4">
        <v>7</v>
      </c>
    </row>
    <row r="5" spans="1:5" x14ac:dyDescent="0.25">
      <c r="A5" t="s">
        <v>381</v>
      </c>
      <c r="B5" t="str">
        <f t="shared" ref="B5" si="1">VLOOKUP(A5,tmat,2,FALSE)</f>
        <v>Cable de Aluminio Forrado 266.8 MCM Mulberry</v>
      </c>
      <c r="C5" t="s">
        <v>1227</v>
      </c>
      <c r="D5">
        <v>40</v>
      </c>
      <c r="E5">
        <v>40</v>
      </c>
    </row>
    <row r="6" spans="1:5" x14ac:dyDescent="0.25">
      <c r="A6" t="s">
        <v>383</v>
      </c>
      <c r="B6" t="str">
        <f t="shared" si="0"/>
        <v>Cable Bimetálico Copperweld # 6 AWG, 40%</v>
      </c>
      <c r="C6" t="s">
        <v>1227</v>
      </c>
      <c r="D6">
        <v>25</v>
      </c>
      <c r="E6">
        <v>25</v>
      </c>
    </row>
    <row r="7" spans="1:5" x14ac:dyDescent="0.25">
      <c r="A7" t="s">
        <v>390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392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25">
      <c r="A9" t="s">
        <v>388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25">
      <c r="A10" t="s">
        <v>396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402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3</v>
      </c>
    </row>
    <row r="12" spans="1:5" x14ac:dyDescent="0.25">
      <c r="A12" t="s">
        <v>403</v>
      </c>
      <c r="B12" t="str">
        <f>VLOOKUP(A12,tmat,2,FALSE)</f>
        <v>Cuchilla Portafusible de Porcelana 100 AMP. Normal, 34.5 KV.</v>
      </c>
      <c r="C12" t="s">
        <v>3</v>
      </c>
      <c r="D12">
        <v>3</v>
      </c>
      <c r="E12">
        <v>0</v>
      </c>
    </row>
    <row r="13" spans="1:5" x14ac:dyDescent="0.25">
      <c r="A13" t="s">
        <v>401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398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25">
      <c r="A15" t="s">
        <v>397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399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407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25">
      <c r="A18" t="s">
        <v>408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25">
      <c r="A19" t="s">
        <v>410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412</v>
      </c>
      <c r="B20" t="str">
        <f t="shared" si="0"/>
        <v>Grapa Galvanizada de 1-1/4" (Lb.)</v>
      </c>
      <c r="C20" t="s">
        <v>851</v>
      </c>
      <c r="D20">
        <v>0.3</v>
      </c>
      <c r="E20">
        <v>0.3</v>
      </c>
    </row>
    <row r="21" spans="1:5" x14ac:dyDescent="0.25">
      <c r="A21" t="s">
        <v>346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1174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347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420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348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413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414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417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435</v>
      </c>
      <c r="B29" t="str">
        <f>VLOOKUP(A29,tmat,2,FALSE)</f>
        <v>Transformador de 100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436</v>
      </c>
      <c r="B30" t="str">
        <f t="shared" si="0"/>
        <v>Transformador de 100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443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  <row r="32" spans="1:5" x14ac:dyDescent="0.25">
      <c r="A32" t="s">
        <v>1228</v>
      </c>
      <c r="B32" t="str">
        <f t="shared" ref="B32" si="5">VLOOKUP(A32,tmat,2,FALSE)</f>
        <v>Soporte Metalico para Montaje de Tres Transformadores en Poste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DFA74C-1BBD-4DE8-A10D-EF77463374FD}">
          <x14:formula1>
            <xm:f>Materiales!$B$2:$B$259</xm:f>
          </x14:formula1>
          <xm:sqref>A2:A32</xm:sqref>
        </x14:dataValidation>
      </x14:dataValidations>
    </ext>
  </extLst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2C6F-25DE-47F2-A94B-4041424439F5}">
  <sheetPr codeName="Hoja177"/>
  <dimension ref="A1:E5"/>
  <sheetViews>
    <sheetView zoomScale="90" zoomScaleNormal="90" workbookViewId="0">
      <selection activeCell="M13" sqref="M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383</v>
      </c>
      <c r="B2" t="str">
        <f>VLOOKUP(A2,tmat,2,FALSE)</f>
        <v>Cable Bimetálico Copperweld # 6 AWG, 40%</v>
      </c>
      <c r="C2" t="s">
        <v>1227</v>
      </c>
      <c r="D2">
        <v>24</v>
      </c>
      <c r="E2">
        <v>24</v>
      </c>
    </row>
    <row r="3" spans="1:5" x14ac:dyDescent="0.25">
      <c r="A3" t="s">
        <v>395</v>
      </c>
      <c r="B3" t="str">
        <f>VLOOKUP(A3,tmat,2,FALSE)</f>
        <v>Conector de Compresión Bimetálico 2 - 4</v>
      </c>
      <c r="C3" t="s">
        <v>3</v>
      </c>
      <c r="D3">
        <v>1</v>
      </c>
      <c r="E3">
        <v>1</v>
      </c>
    </row>
    <row r="4" spans="1:5" x14ac:dyDescent="0.25">
      <c r="A4" t="s">
        <v>399</v>
      </c>
      <c r="B4" t="str">
        <f>VLOOKUP(A4,tmat,2,FALSE)</f>
        <v>Conector Varilla de Aterrizaje de Ø=5/8"</v>
      </c>
      <c r="C4" t="s">
        <v>3</v>
      </c>
      <c r="D4">
        <v>1</v>
      </c>
      <c r="E4">
        <v>1</v>
      </c>
    </row>
    <row r="5" spans="1:5" x14ac:dyDescent="0.25">
      <c r="A5" t="s">
        <v>443</v>
      </c>
      <c r="B5" t="str">
        <f>VLOOKUP(A5,tmat,2,FALSE)</f>
        <v>Varilla Galvanizada para Polo a Tierra 5/8" x 8'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61390D-B3CA-439E-BBC4-01681571E970}">
          <x14:formula1>
            <xm:f>Materiales!$B$2:$B$259</xm:f>
          </x14:formula1>
          <xm:sqref>A2:A5</xm:sqref>
        </x14:dataValidation>
      </x14:dataValidations>
    </ext>
  </extLst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77F3-9974-4B0C-A4F7-1BE4CFB55B9D}">
  <sheetPr codeName="Hoja178"/>
  <dimension ref="A1:E13"/>
  <sheetViews>
    <sheetView zoomScale="90" zoomScaleNormal="90" workbookViewId="0">
      <selection activeCell="J24" sqref="J2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409</v>
      </c>
      <c r="B3" t="str">
        <f t="shared" si="0"/>
        <v>Fusible Cinta Universal de (X) AMP. tipo K</v>
      </c>
      <c r="C3" t="s">
        <v>3</v>
      </c>
      <c r="D3">
        <v>1</v>
      </c>
      <c r="E3">
        <v>1</v>
      </c>
    </row>
    <row r="4" spans="1:5" x14ac:dyDescent="0.25">
      <c r="A4" t="s">
        <v>346</v>
      </c>
      <c r="B4" t="str">
        <f t="shared" si="0"/>
        <v>Perno de Carroceria 3/8" x 5"</v>
      </c>
      <c r="C4" t="s">
        <v>3</v>
      </c>
      <c r="D4">
        <v>1</v>
      </c>
      <c r="E4">
        <v>1</v>
      </c>
    </row>
    <row r="5" spans="1:5" x14ac:dyDescent="0.25">
      <c r="A5" t="s">
        <v>400</v>
      </c>
      <c r="B5" t="str">
        <f t="shared" si="0"/>
        <v>Crucete de Madera Curada de 4" x 5" x 48"</v>
      </c>
      <c r="C5" t="s">
        <v>3</v>
      </c>
      <c r="D5">
        <v>1</v>
      </c>
      <c r="E5">
        <v>1</v>
      </c>
    </row>
    <row r="6" spans="1:5" x14ac:dyDescent="0.25">
      <c r="A6" t="s">
        <v>347</v>
      </c>
      <c r="B6" t="str">
        <f t="shared" si="0"/>
        <v>Tirante de Pletina de 1/4" x 1-1/4" x 30"</v>
      </c>
      <c r="C6" t="s">
        <v>3</v>
      </c>
      <c r="D6">
        <v>1</v>
      </c>
      <c r="E6">
        <v>1</v>
      </c>
    </row>
    <row r="7" spans="1:5" x14ac:dyDescent="0.25">
      <c r="A7" t="s">
        <v>1174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25">
      <c r="A8" t="s">
        <v>403</v>
      </c>
      <c r="B8" t="str">
        <f t="shared" si="0"/>
        <v>Cuchilla Portafusible de Porcelana 100 AMP. Normal, 34.5 KV.</v>
      </c>
      <c r="C8" t="s">
        <v>3</v>
      </c>
      <c r="D8">
        <v>1</v>
      </c>
      <c r="E8">
        <v>0</v>
      </c>
    </row>
    <row r="9" spans="1:5" x14ac:dyDescent="0.25">
      <c r="A9" t="s">
        <v>402</v>
      </c>
      <c r="B9" t="str">
        <f t="shared" si="0"/>
        <v>Cuchilla Portafusible de Porcelana 100 AMP. Normal, 13.8 KV</v>
      </c>
      <c r="C9" t="s">
        <v>3</v>
      </c>
      <c r="D9">
        <v>0</v>
      </c>
      <c r="E9">
        <v>1</v>
      </c>
    </row>
    <row r="10" spans="1:5" x14ac:dyDescent="0.25">
      <c r="A10" t="s">
        <v>385</v>
      </c>
      <c r="B10" t="str">
        <f t="shared" si="0"/>
        <v>Cable de Cobre # 6 Sólido</v>
      </c>
      <c r="C10" t="s">
        <v>1227</v>
      </c>
      <c r="D10">
        <v>25</v>
      </c>
      <c r="E10">
        <v>25</v>
      </c>
    </row>
    <row r="11" spans="1:5" x14ac:dyDescent="0.25">
      <c r="A11" t="s">
        <v>407</v>
      </c>
      <c r="B11" t="str">
        <f t="shared" si="0"/>
        <v>Estribo de Tornillo para Conexión Linea Viva (4 - 4/0)</v>
      </c>
      <c r="C11" t="s">
        <v>3</v>
      </c>
      <c r="D11">
        <v>1</v>
      </c>
      <c r="E11">
        <v>1</v>
      </c>
    </row>
    <row r="12" spans="1:5" x14ac:dyDescent="0.25">
      <c r="A12" t="s">
        <v>348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25">
      <c r="A13" t="s">
        <v>410</v>
      </c>
      <c r="B13" t="str">
        <f t="shared" si="0"/>
        <v>Grapa para Linea Viva</v>
      </c>
      <c r="C13" t="s">
        <v>3</v>
      </c>
      <c r="D13">
        <v>1</v>
      </c>
      <c r="E13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752EE5-0D3D-4F9D-A9BB-F03583891BB9}">
          <x14:formula1>
            <xm:f>Materiales!$B$2:$B$259</xm:f>
          </x14:formula1>
          <xm:sqref>A2:A13</xm:sqref>
        </x14:dataValidation>
      </x14:dataValidations>
    </ext>
  </extLst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C25F-5420-49B4-87F9-BBED955092AD}">
  <sheetPr codeName="Hoja179"/>
  <dimension ref="A1:E13"/>
  <sheetViews>
    <sheetView topLeftCell="A3" zoomScale="90" zoomScaleNormal="90" workbookViewId="0">
      <selection activeCell="C11" sqref="C1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409</v>
      </c>
      <c r="B3" t="str">
        <f t="shared" si="0"/>
        <v>Fusible Cinta Universal de (X) AMP. tipo K</v>
      </c>
      <c r="C3" t="s">
        <v>3</v>
      </c>
      <c r="D3">
        <v>1</v>
      </c>
      <c r="E3">
        <v>1</v>
      </c>
    </row>
    <row r="4" spans="1:5" x14ac:dyDescent="0.25">
      <c r="A4" t="s">
        <v>346</v>
      </c>
      <c r="B4" t="str">
        <f t="shared" si="0"/>
        <v>Perno de Carroceria 3/8" x 5"</v>
      </c>
      <c r="C4" t="s">
        <v>3</v>
      </c>
      <c r="D4">
        <v>1</v>
      </c>
      <c r="E4">
        <v>1</v>
      </c>
    </row>
    <row r="5" spans="1:5" x14ac:dyDescent="0.25">
      <c r="A5" t="s">
        <v>400</v>
      </c>
      <c r="B5" t="str">
        <f t="shared" si="0"/>
        <v>Crucete de Madera Curada de 4" x 5" x 48"</v>
      </c>
      <c r="C5" t="s">
        <v>3</v>
      </c>
      <c r="D5">
        <v>1</v>
      </c>
      <c r="E5">
        <v>1</v>
      </c>
    </row>
    <row r="6" spans="1:5" x14ac:dyDescent="0.25">
      <c r="A6" t="s">
        <v>347</v>
      </c>
      <c r="B6" t="str">
        <f t="shared" si="0"/>
        <v>Tirante de Pletina de 1/4" x 1-1/4" x 30"</v>
      </c>
      <c r="C6" t="s">
        <v>3</v>
      </c>
      <c r="D6">
        <v>1</v>
      </c>
      <c r="E6">
        <v>1</v>
      </c>
    </row>
    <row r="7" spans="1:5" x14ac:dyDescent="0.25">
      <c r="A7" t="s">
        <v>1174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25">
      <c r="A8" t="s">
        <v>405</v>
      </c>
      <c r="B8" t="str">
        <f t="shared" si="0"/>
        <v>Cuchilla Portafusible de Porcelana 100 AMP., 34.5 KV., Apertura Bajo Carga</v>
      </c>
      <c r="C8" t="s">
        <v>3</v>
      </c>
      <c r="D8">
        <v>1</v>
      </c>
      <c r="E8">
        <v>0</v>
      </c>
    </row>
    <row r="9" spans="1:5" x14ac:dyDescent="0.25">
      <c r="A9" t="s">
        <v>404</v>
      </c>
      <c r="B9" t="str">
        <f t="shared" si="0"/>
        <v>Cuchilla Portafusible de Porcelana 100 AMP., 13.8 KV., Apertura Bajo Carga</v>
      </c>
      <c r="C9" t="s">
        <v>3</v>
      </c>
      <c r="D9">
        <v>0</v>
      </c>
      <c r="E9">
        <v>1</v>
      </c>
    </row>
    <row r="10" spans="1:5" x14ac:dyDescent="0.25">
      <c r="A10" t="s">
        <v>385</v>
      </c>
      <c r="B10" t="str">
        <f t="shared" si="0"/>
        <v>Cable de Cobre # 6 Sólido</v>
      </c>
      <c r="C10" t="s">
        <v>1227</v>
      </c>
      <c r="D10">
        <v>25</v>
      </c>
      <c r="E10">
        <v>25</v>
      </c>
    </row>
    <row r="11" spans="1:5" x14ac:dyDescent="0.25">
      <c r="A11" t="s">
        <v>407</v>
      </c>
      <c r="B11" t="str">
        <f t="shared" si="0"/>
        <v>Estribo de Tornillo para Conexión Linea Viva (4 - 4/0)</v>
      </c>
      <c r="C11" t="s">
        <v>3</v>
      </c>
      <c r="D11">
        <v>1</v>
      </c>
      <c r="E11">
        <v>1</v>
      </c>
    </row>
    <row r="12" spans="1:5" x14ac:dyDescent="0.25">
      <c r="A12" t="s">
        <v>348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25">
      <c r="A13" t="s">
        <v>410</v>
      </c>
      <c r="B13" t="str">
        <f t="shared" si="0"/>
        <v>Grapa para Linea Viva</v>
      </c>
      <c r="C13" t="s">
        <v>3</v>
      </c>
      <c r="D13">
        <v>1</v>
      </c>
      <c r="E13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C34A81-292A-49AA-A830-20F70FC0C5DE}">
          <x14:formula1>
            <xm:f>Materiales!$B$2:$B$259</xm:f>
          </x14:formula1>
          <xm:sqref>A2:A13</xm:sqref>
        </x14:dataValidation>
      </x14:dataValidations>
    </ext>
  </extLst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D80B-12F4-4F97-A51E-9E67186E4928}">
  <sheetPr codeName="Hoja180"/>
  <dimension ref="A1:E5"/>
  <sheetViews>
    <sheetView zoomScale="90" zoomScaleNormal="90" workbookViewId="0">
      <selection activeCell="C3" sqref="C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383</v>
      </c>
      <c r="B2" t="str">
        <f>VLOOKUP(A2,tmat,2,FALSE)</f>
        <v>Cable Bimetálico Copperweld # 6 AWG, 40%</v>
      </c>
      <c r="C2" t="s">
        <v>1227</v>
      </c>
      <c r="D2">
        <v>24</v>
      </c>
      <c r="E2">
        <v>24</v>
      </c>
    </row>
    <row r="3" spans="1:5" x14ac:dyDescent="0.25">
      <c r="A3" t="s">
        <v>395</v>
      </c>
      <c r="B3" t="str">
        <f>VLOOKUP(A3,tmat,2,FALSE)</f>
        <v>Conector de Compresión Bimetálico 2 - 4</v>
      </c>
      <c r="C3" t="s">
        <v>3</v>
      </c>
      <c r="D3">
        <v>1</v>
      </c>
      <c r="E3">
        <v>1</v>
      </c>
    </row>
    <row r="4" spans="1:5" x14ac:dyDescent="0.25">
      <c r="A4" t="s">
        <v>399</v>
      </c>
      <c r="B4" t="str">
        <f>VLOOKUP(A4,tmat,2,FALSE)</f>
        <v>Conector Varilla de Aterrizaje de Ø=5/8"</v>
      </c>
      <c r="C4" t="s">
        <v>3</v>
      </c>
      <c r="D4">
        <v>1</v>
      </c>
      <c r="E4">
        <v>1</v>
      </c>
    </row>
    <row r="5" spans="1:5" x14ac:dyDescent="0.25">
      <c r="A5" t="s">
        <v>443</v>
      </c>
      <c r="B5" t="str">
        <f>VLOOKUP(A5,tmat,2,FALSE)</f>
        <v>Varilla Galvanizada para Polo a Tierra 5/8" x 8'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50EB4E-76F7-4B00-BD09-053D19C53B7C}">
          <x14:formula1>
            <xm:f>Materiales!$B$2:$B$259</xm:f>
          </x14:formula1>
          <xm:sqref>A2:A5</xm:sqref>
        </x14:dataValidation>
      </x14:dataValidations>
    </ext>
  </extLst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0B17-2CA8-4CA1-92D0-0280AD34206D}">
  <sheetPr codeName="Hoja181"/>
  <dimension ref="A1:E5"/>
  <sheetViews>
    <sheetView zoomScale="90" zoomScaleNormal="90" workbookViewId="0">
      <selection activeCell="B16" sqref="B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379</v>
      </c>
      <c r="B2" t="str">
        <f>VLOOKUP(A2,tmat,2,FALSE)</f>
        <v>Cable Acerado 1/4 EHS"</v>
      </c>
      <c r="C2" t="s">
        <v>1227</v>
      </c>
      <c r="D2">
        <v>42</v>
      </c>
      <c r="E2">
        <v>42</v>
      </c>
    </row>
    <row r="3" spans="1:5" x14ac:dyDescent="0.25">
      <c r="A3" t="s">
        <v>1219</v>
      </c>
      <c r="B3" t="str">
        <f>VLOOKUP(A3,tmat,2,FALSE)</f>
        <v>Conector para Cable Acerado</v>
      </c>
      <c r="C3" t="s">
        <v>3</v>
      </c>
      <c r="D3">
        <v>1</v>
      </c>
      <c r="E3">
        <v>1</v>
      </c>
    </row>
    <row r="4" spans="1:5" x14ac:dyDescent="0.25">
      <c r="A4" t="s">
        <v>399</v>
      </c>
      <c r="B4" t="str">
        <f>VLOOKUP(A4,tmat,2,FALSE)</f>
        <v>Conector Varilla de Aterrizaje de Ø=5/8"</v>
      </c>
      <c r="C4" t="s">
        <v>3</v>
      </c>
      <c r="D4">
        <v>1</v>
      </c>
      <c r="E4">
        <v>1</v>
      </c>
    </row>
    <row r="5" spans="1:5" x14ac:dyDescent="0.25">
      <c r="A5" t="s">
        <v>443</v>
      </c>
      <c r="B5" t="str">
        <f>VLOOKUP(A5,tmat,2,FALSE)</f>
        <v>Varilla Galvanizada para Polo a Tierra 5/8" x 8'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DAE0DC-6942-4888-96B4-D025491A8D30}">
          <x14:formula1>
            <xm:f>Materiales!$B$2:$B$259</xm:f>
          </x14:formula1>
          <xm:sqref>A2:A5</xm:sqref>
        </x14:dataValidation>
      </x14:dataValidations>
    </ext>
  </extLst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63ED-F321-402D-AB2F-7F239A221885}">
  <sheetPr codeName="Hoja182"/>
  <dimension ref="A1:E16"/>
  <sheetViews>
    <sheetView zoomScale="90" zoomScaleNormal="90" workbookViewId="0">
      <selection activeCell="B12" sqref="B1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393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899</v>
      </c>
      <c r="B4" t="str">
        <f t="shared" si="0"/>
        <v>Lámpara LED tipo Cobra de 50 Watts, Completa con Fotocelda</v>
      </c>
      <c r="C4" t="s">
        <v>3</v>
      </c>
      <c r="D4">
        <v>1</v>
      </c>
      <c r="E4">
        <v>1</v>
      </c>
    </row>
    <row r="5" spans="1:5" x14ac:dyDescent="0.25">
      <c r="A5" t="s">
        <v>332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384</v>
      </c>
      <c r="B6" t="str">
        <f t="shared" si="0"/>
        <v>Cable de Cobre Forrado # 14 AWG</v>
      </c>
      <c r="C6" s="14" t="s">
        <v>1227</v>
      </c>
      <c r="D6">
        <v>12</v>
      </c>
      <c r="E6">
        <v>12</v>
      </c>
    </row>
    <row r="7" spans="1:5" x14ac:dyDescent="0.25">
      <c r="A7" t="s">
        <v>947</v>
      </c>
      <c r="B7" t="str">
        <f>VLOOKUP(A7,tmat,2,FALSE)</f>
        <v>Brazo Metalico para Lámpara 1-1/4" x1/8"x30"</v>
      </c>
      <c r="C7" t="s">
        <v>3</v>
      </c>
      <c r="D7">
        <v>1</v>
      </c>
      <c r="E7">
        <v>1</v>
      </c>
    </row>
    <row r="8" spans="1:5" x14ac:dyDescent="0.25">
      <c r="A8" t="s">
        <v>386</v>
      </c>
      <c r="B8" t="str">
        <f t="shared" ref="B8" si="1">VLOOKUP(A8,tmat,2,FALSE)</f>
        <v>Control Fotoeléctrico, ANSI 136.10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E2B5EA-753A-46BE-AEF5-8374B1FC9843}">
          <x14:formula1>
            <xm:f>Materiales!$B$2:$B$259</xm:f>
          </x14:formula1>
          <xm:sqref>A2:A8</xm:sqref>
        </x14:dataValidation>
      </x14:dataValidations>
    </ext>
  </extLst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B67B-8F8F-4CB3-9A01-99EDB9A180D2}">
  <sheetPr codeName="Hoja183"/>
  <dimension ref="A1:E16"/>
  <sheetViews>
    <sheetView zoomScale="90" zoomScaleNormal="90" workbookViewId="0">
      <selection activeCell="B17" sqref="B1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7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393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1182</v>
      </c>
      <c r="B4" t="str">
        <f t="shared" si="0"/>
        <v>Lámpara LED tipo Cobra de 28 a 50 Watts, Completa con Fotocelda</v>
      </c>
      <c r="C4" t="s">
        <v>3</v>
      </c>
      <c r="D4">
        <v>1</v>
      </c>
      <c r="E4">
        <v>1</v>
      </c>
    </row>
    <row r="5" spans="1:5" x14ac:dyDescent="0.25">
      <c r="A5" t="s">
        <v>332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384</v>
      </c>
      <c r="B6" t="str">
        <f t="shared" si="0"/>
        <v>Cable de Cobre Forrado # 14 AWG</v>
      </c>
      <c r="C6" s="14" t="s">
        <v>1227</v>
      </c>
      <c r="D6">
        <v>12</v>
      </c>
      <c r="E6">
        <v>12</v>
      </c>
    </row>
    <row r="7" spans="1:5" x14ac:dyDescent="0.25">
      <c r="A7" t="s">
        <v>947</v>
      </c>
      <c r="B7" t="str">
        <f t="shared" si="0"/>
        <v>Brazo Metalico para Lámpara 1-1/4" x1/8"x30"</v>
      </c>
      <c r="C7" t="s">
        <v>3</v>
      </c>
      <c r="D7">
        <v>1</v>
      </c>
      <c r="E7">
        <v>1</v>
      </c>
    </row>
    <row r="8" spans="1:5" x14ac:dyDescent="0.25">
      <c r="A8" t="s">
        <v>386</v>
      </c>
      <c r="B8" t="str">
        <f t="shared" ref="B8" si="1">VLOOKUP(A8,tmat,2,FALSE)</f>
        <v>Control Fotoeléctrico, ANSI 136.10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3A996D-87CF-4CAF-87A1-0E24FC3BB7D4}">
          <x14:formula1>
            <xm:f>Materiales!$B$2:$B$259</xm:f>
          </x14:formula1>
          <xm:sqref>A2:A8</xm:sqref>
        </x14:dataValidation>
      </x14:dataValidations>
    </ext>
  </extLst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2E24-4361-44E1-9266-3252A1544AFB}">
  <sheetPr codeName="Hoja184"/>
  <dimension ref="A1:E16"/>
  <sheetViews>
    <sheetView zoomScale="90" zoomScaleNormal="90" workbookViewId="0">
      <selection activeCell="B8" sqref="B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393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1318</v>
      </c>
      <c r="B4" t="str">
        <f t="shared" si="0"/>
        <v>Lámpara LED tipo Cobra de 100 Watts, Completa con Fotocelda</v>
      </c>
      <c r="C4" t="s">
        <v>3</v>
      </c>
      <c r="D4">
        <v>1</v>
      </c>
      <c r="E4">
        <v>1</v>
      </c>
    </row>
    <row r="5" spans="1:5" x14ac:dyDescent="0.25">
      <c r="A5" t="s">
        <v>332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384</v>
      </c>
      <c r="B6" t="str">
        <f t="shared" si="0"/>
        <v>Cable de Cobre Forrado # 14 AWG</v>
      </c>
      <c r="C6" s="14" t="s">
        <v>1227</v>
      </c>
      <c r="D6">
        <v>36</v>
      </c>
      <c r="E6">
        <v>36</v>
      </c>
    </row>
    <row r="7" spans="1:5" x14ac:dyDescent="0.25">
      <c r="A7" t="s">
        <v>386</v>
      </c>
      <c r="B7" t="str">
        <f t="shared" ref="B7:B8" si="1">VLOOKUP(A7,tmat,2,FALSE)</f>
        <v>Control Fotoeléctrico, ANSI 136.10</v>
      </c>
      <c r="C7" t="s">
        <v>3</v>
      </c>
      <c r="D7">
        <v>1</v>
      </c>
      <c r="E7">
        <v>1</v>
      </c>
    </row>
    <row r="8" spans="1:5" x14ac:dyDescent="0.25">
      <c r="A8" t="s">
        <v>948</v>
      </c>
      <c r="B8" t="str">
        <f t="shared" si="1"/>
        <v>Brazo Metalico para Lámpara 1-1/4"x1/8"x96"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5435B4-9488-4A14-B4B5-72BF1357FF63}">
          <x14:formula1>
            <xm:f>Materiales!$B$2:$B$259</xm:f>
          </x14:formula1>
          <xm:sqref>A2:A8</xm:sqref>
        </x14:dataValidation>
      </x14:dataValidations>
    </ext>
  </extLst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FA99-73B0-4E4B-B083-42628E196F13}">
  <sheetPr codeName="Hoja185"/>
  <dimension ref="A1:E16"/>
  <sheetViews>
    <sheetView zoomScale="90" zoomScaleNormal="90" workbookViewId="0">
      <selection activeCell="L21" sqref="L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393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1319</v>
      </c>
      <c r="B4" t="str">
        <f t="shared" si="0"/>
        <v>Lámpara LED tipo Cobra de 200 Watts, Completa con Fotocelda</v>
      </c>
      <c r="C4" t="s">
        <v>3</v>
      </c>
      <c r="D4">
        <v>1</v>
      </c>
      <c r="E4">
        <v>1</v>
      </c>
    </row>
    <row r="5" spans="1:5" x14ac:dyDescent="0.25">
      <c r="A5" t="s">
        <v>332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384</v>
      </c>
      <c r="B6" t="str">
        <f t="shared" si="0"/>
        <v>Cable de Cobre Forrado # 14 AWG</v>
      </c>
      <c r="C6" s="14" t="s">
        <v>1227</v>
      </c>
      <c r="D6">
        <v>54</v>
      </c>
      <c r="E6">
        <v>54</v>
      </c>
    </row>
    <row r="7" spans="1:5" x14ac:dyDescent="0.25">
      <c r="A7" t="s">
        <v>386</v>
      </c>
      <c r="B7" t="str">
        <f t="shared" ref="B7:B8" si="1">VLOOKUP(A7,tmat,2,FALSE)</f>
        <v>Control Fotoeléctrico, ANSI 136.10</v>
      </c>
      <c r="C7" t="s">
        <v>3</v>
      </c>
      <c r="D7">
        <v>1</v>
      </c>
      <c r="E7">
        <v>1</v>
      </c>
    </row>
    <row r="8" spans="1:5" x14ac:dyDescent="0.25">
      <c r="A8" t="s">
        <v>949</v>
      </c>
      <c r="B8" t="str">
        <f t="shared" si="1"/>
        <v>Brazo Metalico para Lámpara 1-1/4" X1/8"x120"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EA8D36-A568-477F-9971-332E44D21A89}">
          <x14:formula1>
            <xm:f>Materiales!$B$2:$B$259</xm:f>
          </x14:formula1>
          <xm:sqref>A2:A8</xm:sqref>
        </x14:dataValidation>
      </x14:dataValidations>
    </ext>
  </extLst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3D57-33B8-42D0-8805-B08BDA1F0071}">
  <sheetPr codeName="Hoja186"/>
  <dimension ref="A1:E9"/>
  <sheetViews>
    <sheetView zoomScale="90" zoomScaleNormal="90" workbookViewId="0">
      <selection activeCell="F19" sqref="F1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9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25">
      <c r="A3" t="s">
        <v>923</v>
      </c>
      <c r="B3" t="str">
        <f t="shared" si="0"/>
        <v>Aislador de Tensión ANSI C 54-1</v>
      </c>
      <c r="C3" t="s">
        <v>3</v>
      </c>
      <c r="D3">
        <v>1</v>
      </c>
      <c r="E3">
        <v>1</v>
      </c>
    </row>
    <row r="4" spans="1:5" x14ac:dyDescent="0.25">
      <c r="A4" t="s">
        <v>379</v>
      </c>
      <c r="B4" t="str">
        <f t="shared" si="0"/>
        <v>Cable Acerado 1/4 EHS"</v>
      </c>
      <c r="C4" t="s">
        <v>1227</v>
      </c>
      <c r="D4">
        <v>48</v>
      </c>
      <c r="E4">
        <v>48</v>
      </c>
    </row>
    <row r="5" spans="1:5" x14ac:dyDescent="0.25">
      <c r="A5" t="s">
        <v>415</v>
      </c>
      <c r="B5" t="str">
        <f t="shared" si="0"/>
        <v>Perno Curvo de Ojo con Guardacabo de 5/8" x 12"</v>
      </c>
      <c r="C5" t="s">
        <v>3</v>
      </c>
      <c r="D5">
        <v>1</v>
      </c>
      <c r="E5">
        <v>1</v>
      </c>
    </row>
    <row r="6" spans="1:5" x14ac:dyDescent="0.25">
      <c r="A6" t="s">
        <v>422</v>
      </c>
      <c r="B6" t="str">
        <f t="shared" si="0"/>
        <v>Plato de Anclaje 16" x 16"</v>
      </c>
      <c r="C6" t="s">
        <v>3</v>
      </c>
      <c r="D6">
        <v>1</v>
      </c>
      <c r="E6">
        <v>1</v>
      </c>
    </row>
    <row r="7" spans="1:5" x14ac:dyDescent="0.25">
      <c r="A7" t="s">
        <v>424</v>
      </c>
      <c r="B7" t="str">
        <f t="shared" si="0"/>
        <v>Protector Metálico para Retenida</v>
      </c>
      <c r="C7" t="s">
        <v>3</v>
      </c>
      <c r="D7">
        <v>1</v>
      </c>
      <c r="E7">
        <v>1</v>
      </c>
    </row>
    <row r="8" spans="1:5" x14ac:dyDescent="0.25">
      <c r="A8" t="s">
        <v>439</v>
      </c>
      <c r="B8" t="str">
        <f t="shared" si="0"/>
        <v>Varilla de Anclaje de 5/8" x 6' con Guardacabo Sencillo</v>
      </c>
      <c r="C8" t="s">
        <v>3</v>
      </c>
      <c r="D8">
        <v>1</v>
      </c>
      <c r="E8">
        <v>1</v>
      </c>
    </row>
    <row r="9" spans="1:5" x14ac:dyDescent="0.25">
      <c r="A9" t="s">
        <v>442</v>
      </c>
      <c r="B9" t="str">
        <f t="shared" si="0"/>
        <v>Varilla de Armar Preformado para Cable Acerado 1/4"</v>
      </c>
      <c r="C9" t="s">
        <v>3</v>
      </c>
      <c r="D9">
        <v>4</v>
      </c>
      <c r="E9">
        <v>4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7F4F13-48DA-445B-A8BF-A9AD3D06A292}">
          <x14:formula1>
            <xm:f>Materiales!$B$2:$B$259</xm:f>
          </x14:formula1>
          <xm:sqref>A2:A9</xm:sqref>
        </x14:dataValidation>
      </x14:dataValidations>
    </ext>
  </extLst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F5D3-73BD-4206-85FC-1DE67AD0DD6B}">
  <sheetPr codeName="Hoja187"/>
  <dimension ref="A1:E9"/>
  <sheetViews>
    <sheetView zoomScale="90" zoomScaleNormal="90" workbookViewId="0">
      <selection activeCell="J16" sqref="J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9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923</v>
      </c>
      <c r="B3" t="str">
        <f t="shared" si="0"/>
        <v>Aislador de Tensión ANSI C 54-1</v>
      </c>
      <c r="C3" t="s">
        <v>3</v>
      </c>
      <c r="D3">
        <v>2</v>
      </c>
      <c r="E3">
        <v>2</v>
      </c>
    </row>
    <row r="4" spans="1:5" x14ac:dyDescent="0.25">
      <c r="A4" t="s">
        <v>379</v>
      </c>
      <c r="B4" t="str">
        <f t="shared" si="0"/>
        <v>Cable Acerado 1/4 EHS"</v>
      </c>
      <c r="C4" t="s">
        <v>1227</v>
      </c>
      <c r="D4">
        <v>70</v>
      </c>
      <c r="E4">
        <v>70</v>
      </c>
    </row>
    <row r="5" spans="1:5" x14ac:dyDescent="0.25">
      <c r="A5" t="s">
        <v>415</v>
      </c>
      <c r="B5" t="str">
        <f t="shared" si="0"/>
        <v>Perno Curvo de Ojo con Guardacabo de 5/8" x 12"</v>
      </c>
      <c r="C5" t="s">
        <v>3</v>
      </c>
      <c r="D5">
        <v>2</v>
      </c>
      <c r="E5">
        <v>2</v>
      </c>
    </row>
    <row r="6" spans="1:5" x14ac:dyDescent="0.25">
      <c r="A6" t="s">
        <v>422</v>
      </c>
      <c r="B6" t="str">
        <f t="shared" si="0"/>
        <v>Plato de Anclaje 16" x 16"</v>
      </c>
      <c r="C6" t="s">
        <v>3</v>
      </c>
      <c r="D6">
        <v>1</v>
      </c>
      <c r="E6">
        <v>1</v>
      </c>
    </row>
    <row r="7" spans="1:5" x14ac:dyDescent="0.25">
      <c r="A7" t="s">
        <v>424</v>
      </c>
      <c r="B7" t="str">
        <f t="shared" si="0"/>
        <v>Protector Metálico para Retenida</v>
      </c>
      <c r="C7" t="s">
        <v>3</v>
      </c>
      <c r="D7">
        <v>1</v>
      </c>
      <c r="E7">
        <v>1</v>
      </c>
    </row>
    <row r="8" spans="1:5" x14ac:dyDescent="0.25">
      <c r="A8" t="s">
        <v>440</v>
      </c>
      <c r="B8" t="str">
        <f t="shared" si="0"/>
        <v>Varilla de Anclaje de 5/8" x 7' con Guardacabo Doble</v>
      </c>
      <c r="C8" t="s">
        <v>3</v>
      </c>
      <c r="D8">
        <v>1</v>
      </c>
      <c r="E8">
        <v>1</v>
      </c>
    </row>
    <row r="9" spans="1:5" x14ac:dyDescent="0.25">
      <c r="A9" t="s">
        <v>442</v>
      </c>
      <c r="B9" t="str">
        <f t="shared" si="0"/>
        <v>Varilla de Armar Preformado para Cable Acerado 1/4"</v>
      </c>
      <c r="C9" t="s">
        <v>3</v>
      </c>
      <c r="D9">
        <v>8</v>
      </c>
      <c r="E9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D17A75-7A8F-4F57-B354-B812C96F7188}">
          <x14:formula1>
            <xm:f>Materiales!$B$2:$B$259</xm:f>
          </x14:formula1>
          <xm:sqref>A2:A9</xm:sqref>
        </x14:dataValidation>
      </x14:dataValidations>
    </ext>
  </extLst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EFA0-5666-4F25-9ECA-D7B00CEABD8A}">
  <sheetPr codeName="Hoja188"/>
  <dimension ref="A1:E11"/>
  <sheetViews>
    <sheetView zoomScale="90" zoomScaleNormal="90" zoomScaleSheetLayoutView="95" workbookViewId="0">
      <selection activeCell="F10" sqref="F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923</v>
      </c>
      <c r="B2" t="str">
        <f t="shared" ref="B2:B11" si="0">VLOOKUP(A2,tmat,2,FALSE)</f>
        <v>Aislador de Tensión ANSI C 54-1</v>
      </c>
      <c r="C2" t="s">
        <v>3</v>
      </c>
      <c r="D2">
        <v>1</v>
      </c>
      <c r="E2">
        <v>1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379</v>
      </c>
      <c r="B4" t="str">
        <f t="shared" si="0"/>
        <v>Cable Acerado 1/4 EHS"</v>
      </c>
      <c r="C4" t="s">
        <v>1227</v>
      </c>
      <c r="D4">
        <v>138</v>
      </c>
      <c r="E4">
        <v>138</v>
      </c>
    </row>
    <row r="5" spans="1:5" x14ac:dyDescent="0.25">
      <c r="A5" t="s">
        <v>415</v>
      </c>
      <c r="B5" t="str">
        <f t="shared" si="0"/>
        <v>Perno Curvo de Ojo con Guardacabo de 5/8" x 12"</v>
      </c>
      <c r="C5" t="s">
        <v>3</v>
      </c>
      <c r="D5">
        <v>1</v>
      </c>
      <c r="E5">
        <v>1</v>
      </c>
    </row>
    <row r="6" spans="1:5" x14ac:dyDescent="0.25">
      <c r="A6" t="s">
        <v>416</v>
      </c>
      <c r="B6" t="str">
        <f t="shared" si="0"/>
        <v>Perno Recto de Ojo con Guardacabo de 5/8" x 12"</v>
      </c>
      <c r="C6" t="s">
        <v>3</v>
      </c>
      <c r="D6">
        <v>1</v>
      </c>
      <c r="E6">
        <v>1</v>
      </c>
    </row>
    <row r="7" spans="1:5" x14ac:dyDescent="0.25">
      <c r="A7" t="s">
        <v>422</v>
      </c>
      <c r="B7" t="str">
        <f t="shared" si="0"/>
        <v>Plato de Anclaje 16" x 16"</v>
      </c>
      <c r="C7" t="s">
        <v>3</v>
      </c>
      <c r="D7">
        <v>1</v>
      </c>
      <c r="E7">
        <v>1</v>
      </c>
    </row>
    <row r="8" spans="1:5" x14ac:dyDescent="0.25">
      <c r="A8" t="s">
        <v>424</v>
      </c>
      <c r="B8" t="str">
        <f t="shared" si="0"/>
        <v>Protector Metálico para Retenida</v>
      </c>
      <c r="C8" t="s">
        <v>3</v>
      </c>
      <c r="D8">
        <v>1</v>
      </c>
      <c r="E8">
        <v>1</v>
      </c>
    </row>
    <row r="9" spans="1:5" x14ac:dyDescent="0.25">
      <c r="A9" t="s">
        <v>438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439</v>
      </c>
      <c r="B10" t="str">
        <f t="shared" si="0"/>
        <v>Varilla de Anclaje de 5/8" x 6' con Guardacabo Sencillo</v>
      </c>
      <c r="C10" t="s">
        <v>3</v>
      </c>
      <c r="D10">
        <v>1</v>
      </c>
      <c r="E10">
        <v>1</v>
      </c>
    </row>
    <row r="11" spans="1:5" x14ac:dyDescent="0.25">
      <c r="A11" t="s">
        <v>442</v>
      </c>
      <c r="B11" t="str">
        <f t="shared" si="0"/>
        <v>Varilla de Armar Preformado para Cable Acerado 1/4"</v>
      </c>
      <c r="C11" t="s">
        <v>3</v>
      </c>
      <c r="D11">
        <v>6</v>
      </c>
      <c r="E11">
        <v>6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002D57-0ED5-4CDB-BA40-C05515DAFAC9}">
          <x14:formula1>
            <xm:f>Materiales!$B$2:$B$259</xm:f>
          </x14:formula1>
          <xm:sqref>A2:A11</xm:sqref>
        </x14:dataValidation>
      </x14:dataValidations>
    </ext>
  </extLst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5D89-ED53-493C-9507-314BCEFCD0CF}">
  <sheetPr codeName="Hoja189"/>
  <dimension ref="A1:E5"/>
  <sheetViews>
    <sheetView workbookViewId="0">
      <selection activeCell="E9" sqref="E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379</v>
      </c>
      <c r="B3" t="str">
        <f>VLOOKUP(A3,tmat,2,FALSE)</f>
        <v>Cable Acerado 1/4 EHS"</v>
      </c>
      <c r="C3" t="s">
        <v>1227</v>
      </c>
      <c r="D3">
        <v>180</v>
      </c>
      <c r="E3">
        <v>180</v>
      </c>
    </row>
    <row r="4" spans="1:5" x14ac:dyDescent="0.25">
      <c r="A4" t="s">
        <v>416</v>
      </c>
      <c r="B4" t="str">
        <f>VLOOKUP(A4,tmat,2,FALSE)</f>
        <v>Perno Recto de Ojo con Guardacabo de 5/8" x 12"</v>
      </c>
      <c r="C4" t="s">
        <v>3</v>
      </c>
      <c r="D4">
        <v>2</v>
      </c>
      <c r="E4">
        <v>2</v>
      </c>
    </row>
    <row r="5" spans="1:5" x14ac:dyDescent="0.25">
      <c r="A5" t="s">
        <v>442</v>
      </c>
      <c r="B5" t="str">
        <f>VLOOKUP(A5,tmat,2,FALSE)</f>
        <v>Varilla de Armar Preformado para Cable Acerado 1/4"</v>
      </c>
      <c r="C5" t="s">
        <v>3</v>
      </c>
      <c r="D5">
        <v>2</v>
      </c>
      <c r="E5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3AF052-8D2B-482D-BDCE-E9AD40F9A85A}">
          <x14:formula1>
            <xm:f>Materiales!$B$2:$B$259</xm:f>
          </x14:formula1>
          <xm:sqref>A2:A4</xm:sqref>
        </x14:dataValidation>
      </x14:dataValidations>
    </ext>
  </extLst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6BA9-0082-4860-9F75-286798D8B5DD}">
  <sheetPr codeName="Hoja190"/>
  <dimension ref="A1:E5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923</v>
      </c>
      <c r="B2" t="str">
        <f>VLOOKUP(A2,tmat,2,FALSE)</f>
        <v>Aislador de Tensión ANSI C 54-1</v>
      </c>
      <c r="C2" t="s">
        <v>3</v>
      </c>
      <c r="D2">
        <v>1</v>
      </c>
      <c r="E2">
        <v>1</v>
      </c>
    </row>
    <row r="3" spans="1:5" x14ac:dyDescent="0.25">
      <c r="A3" t="s">
        <v>379</v>
      </c>
      <c r="B3" t="str">
        <f>VLOOKUP(A3,tmat,2,FALSE)</f>
        <v>Cable Acerado 1/4 EHS"</v>
      </c>
      <c r="C3" t="s">
        <v>1227</v>
      </c>
      <c r="D3">
        <v>190</v>
      </c>
      <c r="E3">
        <v>190</v>
      </c>
    </row>
    <row r="4" spans="1:5" x14ac:dyDescent="0.25">
      <c r="A4" t="s">
        <v>438</v>
      </c>
      <c r="B4" t="str">
        <f>VLOOKUP(A4,tmat,2,FALSE)</f>
        <v>Tuerca de Ojo de 5/8" con Guardacabo</v>
      </c>
      <c r="C4" t="s">
        <v>3</v>
      </c>
      <c r="D4">
        <v>3</v>
      </c>
      <c r="E4">
        <v>3</v>
      </c>
    </row>
    <row r="5" spans="1:5" x14ac:dyDescent="0.25">
      <c r="A5" t="s">
        <v>442</v>
      </c>
      <c r="B5" t="str">
        <f>VLOOKUP(A5,tmat,2,FALSE)</f>
        <v>Varilla de Armar Preformado para Cable Acerado 1/4"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441E6B-C9BB-4818-971B-9CAC64F19D1F}">
          <x14:formula1>
            <xm:f>Materiales!$B$2:$B$259</xm:f>
          </x14:formula1>
          <xm:sqref>A2:A4</xm:sqref>
        </x14:dataValidation>
      </x14:dataValidations>
    </ext>
  </extLst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A493-EF5C-4061-83EB-415BC45322B1}">
  <sheetPr codeName="Hoja191"/>
  <dimension ref="A1:E12"/>
  <sheetViews>
    <sheetView workbookViewId="0">
      <selection activeCell="A13" sqref="A13:XFD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923</v>
      </c>
      <c r="B2" t="str">
        <f t="shared" ref="B2:B12" si="0">VLOOKUP(A2,tmat,2,FALSE)</f>
        <v>Aislador de Tensión ANSI C 54-1</v>
      </c>
      <c r="C2" t="s">
        <v>3</v>
      </c>
      <c r="D2">
        <v>1</v>
      </c>
      <c r="E2">
        <v>1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1</v>
      </c>
      <c r="E3">
        <v>1</v>
      </c>
    </row>
    <row r="4" spans="1:5" x14ac:dyDescent="0.25">
      <c r="A4" t="s">
        <v>1332</v>
      </c>
      <c r="B4" t="str">
        <f t="shared" si="0"/>
        <v>Base y Cabezal para Tubo Galvanizado Ø=2"</v>
      </c>
      <c r="C4" t="s">
        <v>3</v>
      </c>
      <c r="D4">
        <v>1</v>
      </c>
      <c r="E4">
        <v>1</v>
      </c>
    </row>
    <row r="5" spans="1:5" x14ac:dyDescent="0.25">
      <c r="A5" t="s">
        <v>379</v>
      </c>
      <c r="B5" t="str">
        <f t="shared" si="0"/>
        <v>Cable Acerado 1/4 EHS"</v>
      </c>
      <c r="C5" t="s">
        <v>1227</v>
      </c>
      <c r="D5">
        <v>35</v>
      </c>
      <c r="E5">
        <v>35</v>
      </c>
    </row>
    <row r="6" spans="1:5" x14ac:dyDescent="0.25">
      <c r="A6" t="s">
        <v>332</v>
      </c>
      <c r="B6" t="str">
        <f t="shared" si="0"/>
        <v>Perno de Máquina de 5/8" x 12"</v>
      </c>
      <c r="C6" t="s">
        <v>3</v>
      </c>
      <c r="D6">
        <v>2</v>
      </c>
      <c r="E6">
        <v>2</v>
      </c>
    </row>
    <row r="7" spans="1:5" x14ac:dyDescent="0.25">
      <c r="A7" t="s">
        <v>415</v>
      </c>
      <c r="B7" t="str">
        <f t="shared" si="0"/>
        <v>Perno Curvo de Ojo con Guardacabo de 5/8" x 12"</v>
      </c>
      <c r="C7" t="s">
        <v>3</v>
      </c>
      <c r="D7">
        <v>1</v>
      </c>
      <c r="E7">
        <v>1</v>
      </c>
    </row>
    <row r="8" spans="1:5" x14ac:dyDescent="0.25">
      <c r="A8" t="s">
        <v>422</v>
      </c>
      <c r="B8" t="str">
        <f t="shared" si="0"/>
        <v>Plato de Anclaje 16" x 16"</v>
      </c>
      <c r="C8" t="s">
        <v>3</v>
      </c>
      <c r="D8">
        <v>1</v>
      </c>
      <c r="E8">
        <v>1</v>
      </c>
    </row>
    <row r="9" spans="1:5" x14ac:dyDescent="0.25">
      <c r="A9" t="s">
        <v>424</v>
      </c>
      <c r="B9" t="str">
        <f t="shared" si="0"/>
        <v>Protector Metálico para Retenida</v>
      </c>
      <c r="C9" t="s">
        <v>3</v>
      </c>
      <c r="D9">
        <v>1</v>
      </c>
      <c r="E9">
        <v>1</v>
      </c>
    </row>
    <row r="10" spans="1:5" x14ac:dyDescent="0.25">
      <c r="A10" t="s">
        <v>1333</v>
      </c>
      <c r="B10" t="str">
        <f t="shared" si="0"/>
        <v>Tubo de Hierro Galvanizado de 2" Dia. x 6'</v>
      </c>
      <c r="C10" t="s">
        <v>3</v>
      </c>
      <c r="D10">
        <v>1</v>
      </c>
      <c r="E10">
        <v>1</v>
      </c>
    </row>
    <row r="11" spans="1:5" x14ac:dyDescent="0.25">
      <c r="A11" t="s">
        <v>439</v>
      </c>
      <c r="B11" t="str">
        <f t="shared" si="0"/>
        <v>Varilla de Anclaje de 5/8" x 6' con Guardacabo Sencillo</v>
      </c>
      <c r="C11" t="s">
        <v>3</v>
      </c>
      <c r="D11">
        <v>1</v>
      </c>
      <c r="E11">
        <v>1</v>
      </c>
    </row>
    <row r="12" spans="1:5" x14ac:dyDescent="0.25">
      <c r="A12" t="s">
        <v>442</v>
      </c>
      <c r="B12" t="str">
        <f t="shared" si="0"/>
        <v>Varilla de Armar Preformado para Cable Acerado 1/4"</v>
      </c>
      <c r="C12" t="s">
        <v>3</v>
      </c>
      <c r="D12">
        <v>4</v>
      </c>
      <c r="E12">
        <v>4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C13D3C-110A-43F7-B479-C2770260C438}">
          <x14:formula1>
            <xm:f>Materiales!$B$2:$B$259</xm:f>
          </x14:formula1>
          <xm:sqref>A2:A12</xm:sqref>
        </x14:dataValidation>
      </x14:dataValidations>
    </ext>
  </extLst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20C9-8A7F-4C70-8B16-AD3FDB8B7DEB}">
  <sheetPr codeName="Hoja192"/>
  <dimension ref="A1:E4"/>
  <sheetViews>
    <sheetView workbookViewId="0">
      <selection activeCell="G10" sqref="G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332</v>
      </c>
      <c r="B3" t="str">
        <f t="shared" ref="B3:B4" si="1">VLOOKUP(A3,tmat,2,FALSE)</f>
        <v>Perno de Máquina de 5/8" x 12"</v>
      </c>
      <c r="C3" t="s">
        <v>3</v>
      </c>
      <c r="D3">
        <v>1</v>
      </c>
      <c r="E3">
        <v>1</v>
      </c>
    </row>
    <row r="4" spans="1:5" x14ac:dyDescent="0.25">
      <c r="A4" t="s">
        <v>437</v>
      </c>
      <c r="B4" t="str">
        <f t="shared" si="1"/>
        <v>Tubo de Hierro Galvanizado de 4" Dia. x 20'</v>
      </c>
      <c r="C4" t="s">
        <v>3</v>
      </c>
      <c r="D4">
        <v>1</v>
      </c>
      <c r="E4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2BBCE8-A8BA-4649-AC34-3EC8AE7ABADF}">
          <x14:formula1>
            <xm:f>Materiales!$B$2:$B$259</xm:f>
          </x14:formula1>
          <xm:sqref>A2:A13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204</vt:i4>
      </vt:variant>
      <vt:variant>
        <vt:lpstr>Rangos con nombre</vt:lpstr>
      </vt:variant>
      <vt:variant>
        <vt:i4>218</vt:i4>
      </vt:variant>
    </vt:vector>
  </HeadingPairs>
  <TitlesOfParts>
    <vt:vector size="422" baseType="lpstr">
      <vt:lpstr>indice</vt:lpstr>
      <vt:lpstr>Materiales</vt:lpstr>
      <vt:lpstr>Internos</vt:lpstr>
      <vt:lpstr>conectores</vt:lpstr>
      <vt:lpstr>PM-30</vt:lpstr>
      <vt:lpstr>PM-35</vt:lpstr>
      <vt:lpstr>PM-40</vt:lpstr>
      <vt:lpstr>PM-45</vt:lpstr>
      <vt:lpstr>PC-30</vt:lpstr>
      <vt:lpstr>PC-40</vt:lpstr>
      <vt:lpstr>PC-45</vt:lpstr>
      <vt:lpstr>PC-50</vt:lpstr>
      <vt:lpstr>PCA-30</vt:lpstr>
      <vt:lpstr>PCA-35</vt:lpstr>
      <vt:lpstr>PCA-40</vt:lpstr>
      <vt:lpstr>PCA-45</vt:lpstr>
      <vt:lpstr>PCA-50</vt:lpstr>
      <vt:lpstr>PT-30</vt:lpstr>
      <vt:lpstr>PT-35</vt:lpstr>
      <vt:lpstr>PT-40</vt:lpstr>
      <vt:lpstr>PT-45</vt:lpstr>
      <vt:lpstr>PCA-40-2000Lb</vt:lpstr>
      <vt:lpstr>PCA-40-3000Lb</vt:lpstr>
      <vt:lpstr>PCA-45-2000Lb</vt:lpstr>
      <vt:lpstr>PCA-45-3000Lb</vt:lpstr>
      <vt:lpstr>PCA-50-2000Lb</vt:lpstr>
      <vt:lpstr>PC-50-3000Lb</vt:lpstr>
      <vt:lpstr>A-I-1</vt:lpstr>
      <vt:lpstr>A-I-1V</vt:lpstr>
      <vt:lpstr>A-I-2</vt:lpstr>
      <vt:lpstr>A-I-4</vt:lpstr>
      <vt:lpstr>A-I-4A</vt:lpstr>
      <vt:lpstr>A-I-4B</vt:lpstr>
      <vt:lpstr>A-I-4C</vt:lpstr>
      <vt:lpstr>A-I-4V</vt:lpstr>
      <vt:lpstr>A-I-5</vt:lpstr>
      <vt:lpstr>A-I-5V</vt:lpstr>
      <vt:lpstr>A-I-6</vt:lpstr>
      <vt:lpstr>A-I-7</vt:lpstr>
      <vt:lpstr>A-I-7V</vt:lpstr>
      <vt:lpstr>A-I-8</vt:lpstr>
      <vt:lpstr>A-I-8V</vt:lpstr>
      <vt:lpstr>A-I-9</vt:lpstr>
      <vt:lpstr>A-I-9V</vt:lpstr>
      <vt:lpstr>A-II-1</vt:lpstr>
      <vt:lpstr>A-II-1V</vt:lpstr>
      <vt:lpstr>A-II-2</vt:lpstr>
      <vt:lpstr>A-II-2V</vt:lpstr>
      <vt:lpstr>A-II-3</vt:lpstr>
      <vt:lpstr>A-II-4</vt:lpstr>
      <vt:lpstr>A-II-4A</vt:lpstr>
      <vt:lpstr>A-II-4D</vt:lpstr>
      <vt:lpstr>A-II-4E</vt:lpstr>
      <vt:lpstr>A-II-4V</vt:lpstr>
      <vt:lpstr>A-II-5</vt:lpstr>
      <vt:lpstr>A-II-5V</vt:lpstr>
      <vt:lpstr>A-II-6</vt:lpstr>
      <vt:lpstr>A-II-6A</vt:lpstr>
      <vt:lpstr>A-II-6R</vt:lpstr>
      <vt:lpstr>A-II-7</vt:lpstr>
      <vt:lpstr>A-II-7A</vt:lpstr>
      <vt:lpstr>A-II-7V</vt:lpstr>
      <vt:lpstr>A-II-7VA</vt:lpstr>
      <vt:lpstr>A-II-8</vt:lpstr>
      <vt:lpstr>A-II-8A</vt:lpstr>
      <vt:lpstr>A-II-8V</vt:lpstr>
      <vt:lpstr>A-II-8VA</vt:lpstr>
      <vt:lpstr>A-II-9</vt:lpstr>
      <vt:lpstr>A-II-9A</vt:lpstr>
      <vt:lpstr>A-II-9V</vt:lpstr>
      <vt:lpstr>A-II-9VA</vt:lpstr>
      <vt:lpstr>A-III-1</vt:lpstr>
      <vt:lpstr>A-III-1N</vt:lpstr>
      <vt:lpstr>A-III-1V</vt:lpstr>
      <vt:lpstr>A-III-2</vt:lpstr>
      <vt:lpstr>A-III-2N</vt:lpstr>
      <vt:lpstr>A-III-2V</vt:lpstr>
      <vt:lpstr>A-III-3</vt:lpstr>
      <vt:lpstr>A-III-4</vt:lpstr>
      <vt:lpstr>A-III-4A</vt:lpstr>
      <vt:lpstr>A-III-4D</vt:lpstr>
      <vt:lpstr>A-III-4E</vt:lpstr>
      <vt:lpstr>A-III-4N</vt:lpstr>
      <vt:lpstr>A-III-4V</vt:lpstr>
      <vt:lpstr>A-III-5</vt:lpstr>
      <vt:lpstr>A-III-5N</vt:lpstr>
      <vt:lpstr>A-III-5R</vt:lpstr>
      <vt:lpstr>A-III-5V</vt:lpstr>
      <vt:lpstr>A-III-6</vt:lpstr>
      <vt:lpstr>A-III-6A</vt:lpstr>
      <vt:lpstr>A-III-6N</vt:lpstr>
      <vt:lpstr>A-III-7</vt:lpstr>
      <vt:lpstr>A-III-7A</vt:lpstr>
      <vt:lpstr>A-III-7B</vt:lpstr>
      <vt:lpstr>A-III-7V</vt:lpstr>
      <vt:lpstr>A-III-7VA</vt:lpstr>
      <vt:lpstr>A-III-7VB</vt:lpstr>
      <vt:lpstr>A-III-8</vt:lpstr>
      <vt:lpstr>A-III-9</vt:lpstr>
      <vt:lpstr>ER-III-1</vt:lpstr>
      <vt:lpstr>ER-III-2</vt:lpstr>
      <vt:lpstr>ER-III-4</vt:lpstr>
      <vt:lpstr>ER-III-5</vt:lpstr>
      <vt:lpstr>ER-III-6</vt:lpstr>
      <vt:lpstr>ER-III-7</vt:lpstr>
      <vt:lpstr>ER-III-7A</vt:lpstr>
      <vt:lpstr>ER-III-7B</vt:lpstr>
      <vt:lpstr>ER-III-8</vt:lpstr>
      <vt:lpstr>ER-III-8A</vt:lpstr>
      <vt:lpstr>ER-III-8B</vt:lpstr>
      <vt:lpstr>ER-III-9</vt:lpstr>
      <vt:lpstr>DTN-III-1</vt:lpstr>
      <vt:lpstr>DTN-III-2</vt:lpstr>
      <vt:lpstr>DTN-III-5</vt:lpstr>
      <vt:lpstr>DTN-III-6</vt:lpstr>
      <vt:lpstr>B-I-1</vt:lpstr>
      <vt:lpstr>B-I-3</vt:lpstr>
      <vt:lpstr>B-I-4</vt:lpstr>
      <vt:lpstr>B-I-4B</vt:lpstr>
      <vt:lpstr>B-I-4F</vt:lpstr>
      <vt:lpstr>B-I-5</vt:lpstr>
      <vt:lpstr>B-I-6</vt:lpstr>
      <vt:lpstr>B-I-7</vt:lpstr>
      <vt:lpstr>B-I-7A</vt:lpstr>
      <vt:lpstr>B-I-7B</vt:lpstr>
      <vt:lpstr>B-I-7C</vt:lpstr>
      <vt:lpstr>B-I-8</vt:lpstr>
      <vt:lpstr>B-II-1</vt:lpstr>
      <vt:lpstr>B-II-2</vt:lpstr>
      <vt:lpstr>B-II-4</vt:lpstr>
      <vt:lpstr>B-II-4A</vt:lpstr>
      <vt:lpstr>B-II-4B</vt:lpstr>
      <vt:lpstr>B-II-4C</vt:lpstr>
      <vt:lpstr>B-II-4D</vt:lpstr>
      <vt:lpstr>B-II-4E</vt:lpstr>
      <vt:lpstr>B-II-4F</vt:lpstr>
      <vt:lpstr>B-II-5</vt:lpstr>
      <vt:lpstr>B-II-6</vt:lpstr>
      <vt:lpstr>B-II-6A</vt:lpstr>
      <vt:lpstr>B-II-6B</vt:lpstr>
      <vt:lpstr>B-II-7</vt:lpstr>
      <vt:lpstr>B-II-7A</vt:lpstr>
      <vt:lpstr>B-II-8</vt:lpstr>
      <vt:lpstr>B-II-9</vt:lpstr>
      <vt:lpstr>B-III-1</vt:lpstr>
      <vt:lpstr>B-III-2</vt:lpstr>
      <vt:lpstr>B-III-4</vt:lpstr>
      <vt:lpstr>B-III-4A</vt:lpstr>
      <vt:lpstr>B-III-4B</vt:lpstr>
      <vt:lpstr>B-III-4C</vt:lpstr>
      <vt:lpstr>B-III-4D</vt:lpstr>
      <vt:lpstr>B-III-4E</vt:lpstr>
      <vt:lpstr>B-III-4F</vt:lpstr>
      <vt:lpstr>B-III-5</vt:lpstr>
      <vt:lpstr>B-III-6</vt:lpstr>
      <vt:lpstr>B-III-6A</vt:lpstr>
      <vt:lpstr>B-III-6B</vt:lpstr>
      <vt:lpstr>B-III-7</vt:lpstr>
      <vt:lpstr>B-III-7A</vt:lpstr>
      <vt:lpstr>B-III-8</vt:lpstr>
      <vt:lpstr>B-III-9</vt:lpstr>
      <vt:lpstr>G-I-1</vt:lpstr>
      <vt:lpstr>G-I-4</vt:lpstr>
      <vt:lpstr>G-I-5</vt:lpstr>
      <vt:lpstr>G-I-6</vt:lpstr>
      <vt:lpstr>G-I-7</vt:lpstr>
      <vt:lpstr>GB-I-1</vt:lpstr>
      <vt:lpstr>GB-I-1A</vt:lpstr>
      <vt:lpstr>GB-I-4</vt:lpstr>
      <vt:lpstr>GB-I-5</vt:lpstr>
      <vt:lpstr>TS-15KVA</vt:lpstr>
      <vt:lpstr>TS-25KVA</vt:lpstr>
      <vt:lpstr>TS-37.5KVA</vt:lpstr>
      <vt:lpstr>TS-50KVA</vt:lpstr>
      <vt:lpstr>TS-75KVA</vt:lpstr>
      <vt:lpstr>TS-100KVA</vt:lpstr>
      <vt:lpstr>TD-15KVA</vt:lpstr>
      <vt:lpstr>TD-25KVA</vt:lpstr>
      <vt:lpstr>TD-37.5KVA</vt:lpstr>
      <vt:lpstr>TD-50KVA</vt:lpstr>
      <vt:lpstr>TD-75KVA</vt:lpstr>
      <vt:lpstr>TD-100KVA</vt:lpstr>
      <vt:lpstr>TT-15KVA</vt:lpstr>
      <vt:lpstr>TT-25KVA</vt:lpstr>
      <vt:lpstr>TT-37.5KVA</vt:lpstr>
      <vt:lpstr>TT-50KVA</vt:lpstr>
      <vt:lpstr>TT-75KVA</vt:lpstr>
      <vt:lpstr>TT-100KVA</vt:lpstr>
      <vt:lpstr>CA-32</vt:lpstr>
      <vt:lpstr>CS-1</vt:lpstr>
      <vt:lpstr>CS-2</vt:lpstr>
      <vt:lpstr>CT-N</vt:lpstr>
      <vt:lpstr>CT-G</vt:lpstr>
      <vt:lpstr>LL-1-50W</vt:lpstr>
      <vt:lpstr>LL-1-28-50W</vt:lpstr>
      <vt:lpstr>LL-1-100W</vt:lpstr>
      <vt:lpstr>LL-1-200W</vt:lpstr>
      <vt:lpstr>R-1</vt:lpstr>
      <vt:lpstr>R-2</vt:lpstr>
      <vt:lpstr>R-3</vt:lpstr>
      <vt:lpstr>R-3C</vt:lpstr>
      <vt:lpstr>R-3V</vt:lpstr>
      <vt:lpstr>R-4</vt:lpstr>
      <vt:lpstr>R-5T</vt:lpstr>
      <vt:lpstr>'A-III-6'!cod</vt:lpstr>
      <vt:lpstr>'A-III-7'!cod</vt:lpstr>
      <vt:lpstr>'A-III-7A'!cod</vt:lpstr>
      <vt:lpstr>'A-III-7B'!cod</vt:lpstr>
      <vt:lpstr>'A-III-7V'!cod</vt:lpstr>
      <vt:lpstr>'A-III-7VA'!cod</vt:lpstr>
      <vt:lpstr>'A-III-7VB'!cod</vt:lpstr>
      <vt:lpstr>'A-III-8'!cod</vt:lpstr>
      <vt:lpstr>'A-III-9'!cod</vt:lpstr>
      <vt:lpstr>'B-I-3'!cod</vt:lpstr>
      <vt:lpstr>'B-I-4'!cod</vt:lpstr>
      <vt:lpstr>'B-I-4F'!cod</vt:lpstr>
      <vt:lpstr>'B-I-6'!cod</vt:lpstr>
      <vt:lpstr>'B-I-7A'!cod</vt:lpstr>
      <vt:lpstr>'B-I-7B'!cod</vt:lpstr>
      <vt:lpstr>'B-I-7C'!cod</vt:lpstr>
      <vt:lpstr>'B-I-8'!cod</vt:lpstr>
      <vt:lpstr>'B-II-4A'!cod</vt:lpstr>
      <vt:lpstr>'B-II-4B'!cod</vt:lpstr>
      <vt:lpstr>'B-II-4D'!cod</vt:lpstr>
      <vt:lpstr>'B-II-4E'!cod</vt:lpstr>
      <vt:lpstr>'B-II-4F'!cod</vt:lpstr>
      <vt:lpstr>'B-II-5'!cod</vt:lpstr>
      <vt:lpstr>'B-II-6'!cod</vt:lpstr>
      <vt:lpstr>'B-II-6A'!cod</vt:lpstr>
      <vt:lpstr>'B-II-6B'!cod</vt:lpstr>
      <vt:lpstr>'B-II-7'!cod</vt:lpstr>
      <vt:lpstr>'B-II-7A'!cod</vt:lpstr>
      <vt:lpstr>'B-II-8'!cod</vt:lpstr>
      <vt:lpstr>'B-II-9'!cod</vt:lpstr>
      <vt:lpstr>'B-III-2'!cod</vt:lpstr>
      <vt:lpstr>'B-III-4A'!cod</vt:lpstr>
      <vt:lpstr>'B-III-4B'!cod</vt:lpstr>
      <vt:lpstr>'B-III-4D'!cod</vt:lpstr>
      <vt:lpstr>'B-III-4E'!cod</vt:lpstr>
      <vt:lpstr>'B-III-4F'!cod</vt:lpstr>
      <vt:lpstr>'B-III-6A'!cod</vt:lpstr>
      <vt:lpstr>'B-III-6B'!cod</vt:lpstr>
      <vt:lpstr>'B-III-7'!cod</vt:lpstr>
      <vt:lpstr>'B-III-7A'!cod</vt:lpstr>
      <vt:lpstr>'B-III-8'!cod</vt:lpstr>
      <vt:lpstr>'B-III-9'!cod</vt:lpstr>
      <vt:lpstr>'CA-32'!cod</vt:lpstr>
      <vt:lpstr>'CS-1'!cod</vt:lpstr>
      <vt:lpstr>'CT-G'!cod</vt:lpstr>
      <vt:lpstr>'DTN-III-1'!cod</vt:lpstr>
      <vt:lpstr>'DTN-III-2'!cod</vt:lpstr>
      <vt:lpstr>'DTN-III-5'!cod</vt:lpstr>
      <vt:lpstr>'DTN-III-6'!cod</vt:lpstr>
      <vt:lpstr>'ER-III-1'!cod</vt:lpstr>
      <vt:lpstr>'ER-III-2'!cod</vt:lpstr>
      <vt:lpstr>'ER-III-4'!cod</vt:lpstr>
      <vt:lpstr>'ER-III-5'!cod</vt:lpstr>
      <vt:lpstr>'ER-III-6'!cod</vt:lpstr>
      <vt:lpstr>'ER-III-7'!cod</vt:lpstr>
      <vt:lpstr>'ER-III-7A'!cod</vt:lpstr>
      <vt:lpstr>'ER-III-7B'!cod</vt:lpstr>
      <vt:lpstr>'ER-III-8'!cod</vt:lpstr>
      <vt:lpstr>'ER-III-8A'!cod</vt:lpstr>
      <vt:lpstr>'ER-III-8B'!cod</vt:lpstr>
      <vt:lpstr>'ER-III-9'!cod</vt:lpstr>
      <vt:lpstr>'GB-I-1'!cod</vt:lpstr>
      <vt:lpstr>'GB-I-1A'!cod</vt:lpstr>
      <vt:lpstr>'GB-I-4'!cod</vt:lpstr>
      <vt:lpstr>'GB-I-5'!cod</vt:lpstr>
      <vt:lpstr>'G-I-1'!cod</vt:lpstr>
      <vt:lpstr>'G-I-4'!cod</vt:lpstr>
      <vt:lpstr>'G-I-5'!cod</vt:lpstr>
      <vt:lpstr>'G-I-6'!cod</vt:lpstr>
      <vt:lpstr>'G-I-7'!cod</vt:lpstr>
      <vt:lpstr>Internos!cod</vt:lpstr>
      <vt:lpstr>'LL-1-100W'!cod</vt:lpstr>
      <vt:lpstr>'LL-1-200W'!cod</vt:lpstr>
      <vt:lpstr>'LL-1-50W'!cod</vt:lpstr>
      <vt:lpstr>'PC-50'!cod</vt:lpstr>
      <vt:lpstr>'PC-50-3000Lb'!cod</vt:lpstr>
      <vt:lpstr>'PCA-40-2000Lb'!cod</vt:lpstr>
      <vt:lpstr>'PCA-40-3000Lb'!cod</vt:lpstr>
      <vt:lpstr>'PCA-45-2000Lb'!cod</vt:lpstr>
      <vt:lpstr>'PCA-45-3000Lb'!cod</vt:lpstr>
      <vt:lpstr>'PCA-50'!cod</vt:lpstr>
      <vt:lpstr>'PCA-50-2000Lb'!cod</vt:lpstr>
      <vt:lpstr>'PM-30'!cod</vt:lpstr>
      <vt:lpstr>'PM-35'!cod</vt:lpstr>
      <vt:lpstr>'PM-40'!cod</vt:lpstr>
      <vt:lpstr>'PM-45'!cod</vt:lpstr>
      <vt:lpstr>'PT-30'!cod</vt:lpstr>
      <vt:lpstr>'PT-35'!cod</vt:lpstr>
      <vt:lpstr>'PT-40'!cod</vt:lpstr>
      <vt:lpstr>'PT-45'!cod</vt:lpstr>
      <vt:lpstr>'R-3V'!cod</vt:lpstr>
      <vt:lpstr>'R-5T'!cod</vt:lpstr>
      <vt:lpstr>'TD-100KVA'!cod</vt:lpstr>
      <vt:lpstr>'TD-15KVA'!cod</vt:lpstr>
      <vt:lpstr>'TD-25KVA'!cod</vt:lpstr>
      <vt:lpstr>'TD-37.5KVA'!cod</vt:lpstr>
      <vt:lpstr>'TD-50KVA'!cod</vt:lpstr>
      <vt:lpstr>'TD-75KVA'!cod</vt:lpstr>
      <vt:lpstr>'TS-100KVA'!cod</vt:lpstr>
      <vt:lpstr>'TS-15KVA'!cod</vt:lpstr>
      <vt:lpstr>'TS-25KVA'!cod</vt:lpstr>
      <vt:lpstr>'TS-75KVA'!cod</vt:lpstr>
      <vt:lpstr>'TT-100KVA'!cod</vt:lpstr>
      <vt:lpstr>'TT-15KVA'!cod</vt:lpstr>
      <vt:lpstr>'TT-25KVA'!cod</vt:lpstr>
      <vt:lpstr>'TT-37.5KVA'!cod</vt:lpstr>
      <vt:lpstr>'TT-50KVA'!cod</vt:lpstr>
      <vt:lpstr>'TT-75KVA'!cod</vt:lpstr>
      <vt:lpstr>cod</vt:lpstr>
      <vt:lpstr>'A-III-6'!tmat</vt:lpstr>
      <vt:lpstr>'A-III-7'!tmat</vt:lpstr>
      <vt:lpstr>'A-III-7A'!tmat</vt:lpstr>
      <vt:lpstr>'A-III-7B'!tmat</vt:lpstr>
      <vt:lpstr>'A-III-7V'!tmat</vt:lpstr>
      <vt:lpstr>'A-III-7VA'!tmat</vt:lpstr>
      <vt:lpstr>'A-III-7VB'!tmat</vt:lpstr>
      <vt:lpstr>'A-III-8'!tmat</vt:lpstr>
      <vt:lpstr>'A-III-9'!tmat</vt:lpstr>
      <vt:lpstr>'B-I-3'!tmat</vt:lpstr>
      <vt:lpstr>'B-I-4'!tmat</vt:lpstr>
      <vt:lpstr>'B-I-4F'!tmat</vt:lpstr>
      <vt:lpstr>'B-I-6'!tmat</vt:lpstr>
      <vt:lpstr>'B-I-7A'!tmat</vt:lpstr>
      <vt:lpstr>'B-I-7B'!tmat</vt:lpstr>
      <vt:lpstr>'B-I-7C'!tmat</vt:lpstr>
      <vt:lpstr>'B-I-8'!tmat</vt:lpstr>
      <vt:lpstr>'B-II-4A'!tmat</vt:lpstr>
      <vt:lpstr>'B-II-4B'!tmat</vt:lpstr>
      <vt:lpstr>'B-II-4D'!tmat</vt:lpstr>
      <vt:lpstr>'B-II-4E'!tmat</vt:lpstr>
      <vt:lpstr>'B-II-4F'!tmat</vt:lpstr>
      <vt:lpstr>'B-II-5'!tmat</vt:lpstr>
      <vt:lpstr>'B-II-6'!tmat</vt:lpstr>
      <vt:lpstr>'B-II-6A'!tmat</vt:lpstr>
      <vt:lpstr>'B-II-6B'!tmat</vt:lpstr>
      <vt:lpstr>'B-II-7'!tmat</vt:lpstr>
      <vt:lpstr>'B-II-7A'!tmat</vt:lpstr>
      <vt:lpstr>'B-II-8'!tmat</vt:lpstr>
      <vt:lpstr>'B-II-9'!tmat</vt:lpstr>
      <vt:lpstr>'B-III-2'!tmat</vt:lpstr>
      <vt:lpstr>'B-III-4A'!tmat</vt:lpstr>
      <vt:lpstr>'B-III-4B'!tmat</vt:lpstr>
      <vt:lpstr>'B-III-4D'!tmat</vt:lpstr>
      <vt:lpstr>'B-III-4E'!tmat</vt:lpstr>
      <vt:lpstr>'B-III-4F'!tmat</vt:lpstr>
      <vt:lpstr>'B-III-6A'!tmat</vt:lpstr>
      <vt:lpstr>'B-III-6B'!tmat</vt:lpstr>
      <vt:lpstr>'B-III-7'!tmat</vt:lpstr>
      <vt:lpstr>'B-III-7A'!tmat</vt:lpstr>
      <vt:lpstr>'B-III-8'!tmat</vt:lpstr>
      <vt:lpstr>'B-III-9'!tmat</vt:lpstr>
      <vt:lpstr>'CA-32'!tmat</vt:lpstr>
      <vt:lpstr>'CS-1'!tmat</vt:lpstr>
      <vt:lpstr>'CT-G'!tmat</vt:lpstr>
      <vt:lpstr>'DTN-III-1'!tmat</vt:lpstr>
      <vt:lpstr>'DTN-III-2'!tmat</vt:lpstr>
      <vt:lpstr>'DTN-III-5'!tmat</vt:lpstr>
      <vt:lpstr>'DTN-III-6'!tmat</vt:lpstr>
      <vt:lpstr>'ER-III-1'!tmat</vt:lpstr>
      <vt:lpstr>'ER-III-2'!tmat</vt:lpstr>
      <vt:lpstr>'ER-III-4'!tmat</vt:lpstr>
      <vt:lpstr>'ER-III-5'!tmat</vt:lpstr>
      <vt:lpstr>'ER-III-6'!tmat</vt:lpstr>
      <vt:lpstr>'ER-III-7'!tmat</vt:lpstr>
      <vt:lpstr>'ER-III-7A'!tmat</vt:lpstr>
      <vt:lpstr>'ER-III-7B'!tmat</vt:lpstr>
      <vt:lpstr>'ER-III-8'!tmat</vt:lpstr>
      <vt:lpstr>'ER-III-8A'!tmat</vt:lpstr>
      <vt:lpstr>'ER-III-8B'!tmat</vt:lpstr>
      <vt:lpstr>'ER-III-9'!tmat</vt:lpstr>
      <vt:lpstr>'GB-I-1'!tmat</vt:lpstr>
      <vt:lpstr>'GB-I-1A'!tmat</vt:lpstr>
      <vt:lpstr>'GB-I-4'!tmat</vt:lpstr>
      <vt:lpstr>'GB-I-5'!tmat</vt:lpstr>
      <vt:lpstr>'G-I-1'!tmat</vt:lpstr>
      <vt:lpstr>'G-I-4'!tmat</vt:lpstr>
      <vt:lpstr>'G-I-5'!tmat</vt:lpstr>
      <vt:lpstr>'G-I-6'!tmat</vt:lpstr>
      <vt:lpstr>'G-I-7'!tmat</vt:lpstr>
      <vt:lpstr>Internos!tmat</vt:lpstr>
      <vt:lpstr>'LL-1-100W'!tmat</vt:lpstr>
      <vt:lpstr>'LL-1-200W'!tmat</vt:lpstr>
      <vt:lpstr>'LL-1-50W'!tmat</vt:lpstr>
      <vt:lpstr>'PC-50'!tmat</vt:lpstr>
      <vt:lpstr>'PC-50-3000Lb'!tmat</vt:lpstr>
      <vt:lpstr>'PCA-40-2000Lb'!tmat</vt:lpstr>
      <vt:lpstr>'PCA-40-3000Lb'!tmat</vt:lpstr>
      <vt:lpstr>'PCA-45-2000Lb'!tmat</vt:lpstr>
      <vt:lpstr>'PCA-45-3000Lb'!tmat</vt:lpstr>
      <vt:lpstr>'PCA-50'!tmat</vt:lpstr>
      <vt:lpstr>'PCA-50-2000Lb'!tmat</vt:lpstr>
      <vt:lpstr>'PM-30'!tmat</vt:lpstr>
      <vt:lpstr>'PM-35'!tmat</vt:lpstr>
      <vt:lpstr>'PM-40'!tmat</vt:lpstr>
      <vt:lpstr>'PM-45'!tmat</vt:lpstr>
      <vt:lpstr>'PT-30'!tmat</vt:lpstr>
      <vt:lpstr>'PT-35'!tmat</vt:lpstr>
      <vt:lpstr>'PT-40'!tmat</vt:lpstr>
      <vt:lpstr>'PT-45'!tmat</vt:lpstr>
      <vt:lpstr>'R-3V'!tmat</vt:lpstr>
      <vt:lpstr>'R-5T'!tmat</vt:lpstr>
      <vt:lpstr>'TD-100KVA'!tmat</vt:lpstr>
      <vt:lpstr>'TD-15KVA'!tmat</vt:lpstr>
      <vt:lpstr>'TD-25KVA'!tmat</vt:lpstr>
      <vt:lpstr>'TD-37.5KVA'!tmat</vt:lpstr>
      <vt:lpstr>'TD-50KVA'!tmat</vt:lpstr>
      <vt:lpstr>'TD-75KVA'!tmat</vt:lpstr>
      <vt:lpstr>'TS-100KVA'!tmat</vt:lpstr>
      <vt:lpstr>'TS-15KVA'!tmat</vt:lpstr>
      <vt:lpstr>'TS-25KVA'!tmat</vt:lpstr>
      <vt:lpstr>'TS-75KVA'!tmat</vt:lpstr>
      <vt:lpstr>'TT-100KVA'!tmat</vt:lpstr>
      <vt:lpstr>'TT-15KVA'!tmat</vt:lpstr>
      <vt:lpstr>'TT-25KVA'!tmat</vt:lpstr>
      <vt:lpstr>'TT-37.5KVA'!tmat</vt:lpstr>
      <vt:lpstr>'TT-50KVA'!tmat</vt:lpstr>
      <vt:lpstr>'TT-75KVA'!tmat</vt:lpstr>
      <vt:lpstr>tmat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 IKOL CRUZ PEREZ</dc:creator>
  <cp:lastModifiedBy>Jose Nikol  Cruz Perez</cp:lastModifiedBy>
  <cp:lastPrinted>2025-12-30T21:55:20Z</cp:lastPrinted>
  <dcterms:created xsi:type="dcterms:W3CDTF">2025-05-29T02:47:28Z</dcterms:created>
  <dcterms:modified xsi:type="dcterms:W3CDTF">2026-09-28T00:18:04Z</dcterms:modified>
</cp:coreProperties>
</file>